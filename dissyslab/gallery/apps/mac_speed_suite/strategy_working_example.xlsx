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onchian_20" sheetId="2" state="visible" r:id="rId4"/>
    <sheet name="mac_me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<sst xmlns="http://schemas.openxmlformats.org/spreadsheetml/2006/main" count="169" uniqueCount="103">
  <si>
    <t xml:space="preserve">What this is</t>
  </si>
  <si>
    <t xml:space="preserve">One row per trading day, showing every quantity the strategy computed and the rule that turned them into a position.</t>
  </si>
  <si>
    <t xml:space="preserve">Shaded columns are live Excel formulas, not numbers. Click one and read the formula bar: it is the rule, in a form you can check and change. Change a price and the shaded columns recompute.</t>
  </si>
  <si>
    <t xml:space="preserve">The unshaded value columns are what the Python produced. They do not verify the formulas -- both say the same author's understanding of the rule. If they disagree, one of the two has a slip and the match column says so.</t>
  </si>
  <si>
    <t xml:space="preserve">Prices</t>
  </si>
  <si>
    <t xml:space="preserve">SYNTHETIC PRICES -- no CSV found. These are made up, so the numbers mean nothing; the formulas and the rule are still real. Run download_stock_history_from_yf.py for real prices.</t>
  </si>
  <si>
    <t xml:space="preserve">Sheet: donchian_20</t>
  </si>
  <si>
    <t xml:space="preserve">Donchian(20). The upper channel is the highest high of the 20 bars BEFORE today; the lower channel is the lowest low of those same bars. Today's close above the upper channel goes long; below the lower channel goes short; otherwise hold whatever you held. Flat until the first breakout.</t>
  </si>
  <si>
    <t xml:space="preserve">  - The first 20 rows are context. The formulas in the first visible row read them, so they are shown.</t>
  </si>
  <si>
    <t xml:space="preserve">Sheet: mac_med</t>
  </si>
  <si>
    <t xml:space="preserve">Exponential moving averages of the close at spans 8 and 32 (alpha = 2/(span+1), so 0.2222 and 0.0606). Both are seeded with the first close. Long while the faster is above the slower, short otherwise -- a tie counts as short.</t>
  </si>
  <si>
    <t xml:space="preserve">  - The averages depend on every earlier bar, so the first visible row is seeded from the full run rather than recomputed. Rows below it are the recurrence, each reading the row above.</t>
  </si>
  <si>
    <t xml:space="preserve">  - A tie goes short. On a flat price series both averages are equal for ever, so the signal is short for ever. That follows from the rule as written; it may not be what was intended.</t>
  </si>
  <si>
    <t xml:space="preserve">t</t>
  </si>
  <si>
    <t xml:space="preserve">date</t>
  </si>
  <si>
    <t xml:space="preserve">high</t>
  </si>
  <si>
    <t xml:space="preserve">low</t>
  </si>
  <si>
    <t xml:space="preserve">close</t>
  </si>
  <si>
    <t xml:space="preserve">upper</t>
  </si>
  <si>
    <t xml:space="preserve">upper (excel)</t>
  </si>
  <si>
    <t xml:space="preserve">match</t>
  </si>
  <si>
    <t xml:space="preserve">lower</t>
  </si>
  <si>
    <t xml:space="preserve">lower (excel)</t>
  </si>
  <si>
    <t xml:space="preserve">signal</t>
  </si>
  <si>
    <t xml:space="preserve">why</t>
  </si>
  <si>
    <t xml:space="preserve">2026-01-01</t>
  </si>
  <si>
    <t xml:space="preserve">window not full -- flat</t>
  </si>
  <si>
    <t xml:space="preserve">2026-01-02</t>
  </si>
  <si>
    <t xml:space="preserve">2026-01-03</t>
  </si>
  <si>
    <t xml:space="preserve">2026-01-04</t>
  </si>
  <si>
    <t xml:space="preserve">2026-01-05</t>
  </si>
  <si>
    <t xml:space="preserve">2026-01-06</t>
  </si>
  <si>
    <t xml:space="preserve">2026-01-07</t>
  </si>
  <si>
    <t xml:space="preserve">2026-01-08</t>
  </si>
  <si>
    <t xml:space="preserve">2026-01-09</t>
  </si>
  <si>
    <t xml:space="preserve">2026-01-10</t>
  </si>
  <si>
    <t xml:space="preserve">2026-01-11</t>
  </si>
  <si>
    <t xml:space="preserve">2026-01-12</t>
  </si>
  <si>
    <t xml:space="preserve">2026-01-13</t>
  </si>
  <si>
    <t xml:space="preserve">2026-01-14</t>
  </si>
  <si>
    <t xml:space="preserve">2026-01-15</t>
  </si>
  <si>
    <t xml:space="preserve">2026-01-16</t>
  </si>
  <si>
    <t xml:space="preserve">2026-01-17</t>
  </si>
  <si>
    <t xml:space="preserve">2026-01-18</t>
  </si>
  <si>
    <t xml:space="preserve">2026-01-19</t>
  </si>
  <si>
    <t xml:space="preserve">2026-01-20</t>
  </si>
  <si>
    <t xml:space="preserve">2026-01-21</t>
  </si>
  <si>
    <t xml:space="preserve">no breakout -- hold</t>
  </si>
  <si>
    <t xml:space="preserve">2026-01-22</t>
  </si>
  <si>
    <t xml:space="preserve">2026-01-23</t>
  </si>
  <si>
    <t xml:space="preserve">2026-01-24</t>
  </si>
  <si>
    <t xml:space="preserve">close 103.0 &lt; lower 104.2 -- go short</t>
  </si>
  <si>
    <t xml:space="preserve">2026-01-25</t>
  </si>
  <si>
    <t xml:space="preserve">close 101.0 &lt; lower 102.2 -- go short</t>
  </si>
  <si>
    <t xml:space="preserve">2026-01-26</t>
  </si>
  <si>
    <t xml:space="preserve">2026-01-27</t>
  </si>
  <si>
    <t xml:space="preserve">2026-01-28</t>
  </si>
  <si>
    <t xml:space="preserve">2026-02-01</t>
  </si>
  <si>
    <t xml:space="preserve">2026-02-02</t>
  </si>
  <si>
    <t xml:space="preserve">2026-02-03</t>
  </si>
  <si>
    <t xml:space="preserve">2026-02-04</t>
  </si>
  <si>
    <t xml:space="preserve">2026-02-05</t>
  </si>
  <si>
    <t xml:space="preserve">2026-02-06</t>
  </si>
  <si>
    <t xml:space="preserve">2026-02-07</t>
  </si>
  <si>
    <t xml:space="preserve">2026-02-08</t>
  </si>
  <si>
    <t xml:space="preserve">2026-02-09</t>
  </si>
  <si>
    <t xml:space="preserve">2026-02-10</t>
  </si>
  <si>
    <t xml:space="preserve">close 119.2 &gt; upper 118.6 -- go long</t>
  </si>
  <si>
    <t xml:space="preserve">2026-02-11</t>
  </si>
  <si>
    <t xml:space="preserve">close 120.6 &gt; upper 120.0 -- go long</t>
  </si>
  <si>
    <t xml:space="preserve">2026-02-12</t>
  </si>
  <si>
    <t xml:space="preserve">close 122.0 &gt; upper 121.4 -- go long</t>
  </si>
  <si>
    <t xml:space="preserve">fast</t>
  </si>
  <si>
    <t xml:space="preserve">fast (excel)</t>
  </si>
  <si>
    <t xml:space="preserve">slow</t>
  </si>
  <si>
    <t xml:space="preserve">slow (excel)</t>
  </si>
  <si>
    <t xml:space="preserve">seeded: both averages equal the first close, so not above -- short</t>
  </si>
  <si>
    <t xml:space="preserve">fast 101.7111 &gt; slow 101.4848 -- long</t>
  </si>
  <si>
    <t xml:space="preserve">fast 102.2642 &gt; slow 101.6494 -- long</t>
  </si>
  <si>
    <t xml:space="preserve">fast 103.0055 &gt; slow 101.8888 -- long</t>
  </si>
  <si>
    <t xml:space="preserve">fast 103.8932 &gt; slow 102.1986 -- long</t>
  </si>
  <si>
    <t xml:space="preserve">fast 104.8947 &gt; slow 102.5744 -- long</t>
  </si>
  <si>
    <t xml:space="preserve">fast 105.9847 &gt; slow 103.0124 -- long</t>
  </si>
  <si>
    <t xml:space="preserve">fast 107.1437 &gt; slow 103.5086 -- long</t>
  </si>
  <si>
    <t xml:space="preserve">fast 108.3562 &gt; slow 104.0596 -- long</t>
  </si>
  <si>
    <t xml:space="preserve">fast 109.6104 &gt; slow 104.6620 -- long</t>
  </si>
  <si>
    <t xml:space="preserve">fast 110.8970 &gt; slow 105.3128 -- long</t>
  </si>
  <si>
    <t xml:space="preserve">fast 112.2087 &gt; slow 106.0090 -- long</t>
  </si>
  <si>
    <t xml:space="preserve">fast 113.5401 &gt; slow 106.7479 -- long</t>
  </si>
  <si>
    <t xml:space="preserve">fast 114.8868 &gt; slow 107.5268 -- long</t>
  </si>
  <si>
    <t xml:space="preserve">fast 116.2453 &gt; slow 108.3433 -- long</t>
  </si>
  <si>
    <t xml:space="preserve">fast 116.8574 &gt; slow 108.9892 -- long</t>
  </si>
  <si>
    <t xml:space="preserve">fast 116.8891 &gt; slow 109.4747 -- long</t>
  </si>
  <si>
    <t xml:space="preserve">fast 116.4693 &gt; slow 109.8096 -- long</t>
  </si>
  <si>
    <t xml:space="preserve">fast 115.6984 &gt; slow 110.0029 -- long</t>
  </si>
  <si>
    <t xml:space="preserve">fast 114.6543 &gt; slow 110.0633 -- long</t>
  </si>
  <si>
    <t xml:space="preserve">fast 113.3978 &gt; slow 109.9989 -- long</t>
  </si>
  <si>
    <t xml:space="preserve">fast 111.9760 &gt; slow 109.8172 -- long</t>
  </si>
  <si>
    <t xml:space="preserve">fast 110.4258 &gt; slow 109.5252 -- long</t>
  </si>
  <si>
    <t xml:space="preserve">fast 108.7756 &lt;= slow 109.1297 -- short</t>
  </si>
  <si>
    <t xml:space="preserve">fast 107.0477 &lt;= slow 108.6370 -- short</t>
  </si>
  <si>
    <t xml:space="preserve">alpha fast = 2/(span+1)</t>
  </si>
  <si>
    <t xml:space="preserve">alpha slow = 2/(span+1)</t>
  </si>
</sst>
</file>

<file path=xl/styles.xml><?xml version="1.0" encoding="utf-8"?>
<styleSheet xmlns="http://schemas.openxmlformats.org/spreadsheetml/2006/main">
  <numFmts count="2">
    <numFmt numFmtId="164" formatCode="General"/>
    <numFmt numFmtId="165" formatCode="0.0000"/>
  </numFmts>
  <fonts count="7">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1"/>
      <name val="Arial"/>
      <family val="0"/>
      <charset val="1"/>
    </font>
    <font>
      <b val="true"/>
      <sz val="11"/>
      <name val="Arial"/>
      <family val="0"/>
      <charset val="1"/>
    </font>
  </fonts>
  <fills count="5">
    <fill>
      <patternFill patternType="none"/>
    </fill>
    <fill>
      <patternFill patternType="gray125"/>
    </fill>
    <fill>
      <patternFill patternType="solid">
        <fgColor rgb="FFDDEBF7"/>
        <bgColor rgb="FFF2F2F2"/>
      </patternFill>
    </fill>
    <fill>
      <patternFill patternType="solid">
        <fgColor rgb="FFF2F2F2"/>
        <bgColor rgb="FFDDEBF7"/>
      </patternFill>
    </fill>
    <fill>
      <patternFill patternType="solid">
        <fgColor rgb="FFFFF2CC"/>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1" t="s">
        <v>0</v>
      </c>
    </row>
    <row r="2" customFormat="false" ht="26.85" hidden="false" customHeight="false" outlineLevel="0" collapsed="false">
      <c r="A2" s="2" t="s">
        <v>1</v>
      </c>
    </row>
    <row r="3" customFormat="false" ht="15" hidden="false" customHeight="false" outlineLevel="0" collapsed="false">
      <c r="A3" s="2"/>
    </row>
    <row r="4" customFormat="false" ht="26.85" hidden="false" customHeight="false" outlineLevel="0" collapsed="false">
      <c r="A4" s="2" t="s">
        <v>2</v>
      </c>
    </row>
    <row r="5" customFormat="false" ht="15" hidden="false" customHeight="false" outlineLevel="0" collapsed="false">
      <c r="A5" s="2"/>
    </row>
    <row r="6" customFormat="false" ht="39.55" hidden="false" customHeight="false" outlineLevel="0" collapsed="false">
      <c r="A6" s="2" t="s">
        <v>3</v>
      </c>
    </row>
    <row r="7" customFormat="false" ht="15" hidden="false" customHeight="false" outlineLevel="0" collapsed="false">
      <c r="A7" s="2"/>
    </row>
    <row r="8" customFormat="false" ht="15" hidden="false" customHeight="false" outlineLevel="0" collapsed="false">
      <c r="A8" s="1" t="s">
        <v>4</v>
      </c>
    </row>
    <row r="9" customFormat="false" ht="26.85" hidden="false" customHeight="false" outlineLevel="0" collapsed="false">
      <c r="A9" s="2" t="s">
        <v>5</v>
      </c>
    </row>
    <row r="10" customFormat="false" ht="15" hidden="false" customHeight="false" outlineLevel="0" collapsed="false">
      <c r="A10" s="2"/>
    </row>
    <row r="11" customFormat="false" ht="15" hidden="false" customHeight="false" outlineLevel="0" collapsed="false">
      <c r="A11" s="1" t="s">
        <v>6</v>
      </c>
    </row>
    <row r="12" customFormat="false" ht="39.55" hidden="false" customHeight="false" outlineLevel="0" collapsed="false">
      <c r="A12" s="2" t="s">
        <v>7</v>
      </c>
    </row>
    <row r="13" customFormat="false" ht="15" hidden="false" customHeight="false" outlineLevel="0" collapsed="false">
      <c r="A13" s="2" t="s">
        <v>8</v>
      </c>
    </row>
    <row r="14" customFormat="false" ht="15" hidden="false" customHeight="false" outlineLevel="0" collapsed="false">
      <c r="A14" s="2"/>
    </row>
    <row r="15" customFormat="false" ht="15" hidden="false" customHeight="false" outlineLevel="0" collapsed="false">
      <c r="A15" s="1" t="s">
        <v>9</v>
      </c>
    </row>
    <row r="16" customFormat="false" ht="39.55" hidden="false" customHeight="false" outlineLevel="0" collapsed="false">
      <c r="A16" s="2" t="s">
        <v>10</v>
      </c>
    </row>
    <row r="17" customFormat="false" ht="26.85" hidden="false" customHeight="false" outlineLevel="0" collapsed="false">
      <c r="A17" s="2" t="s">
        <v>11</v>
      </c>
    </row>
    <row r="18" customFormat="false" ht="26.85" hidden="false" customHeight="false" outlineLevel="0" collapsed="false">
      <c r="A18" s="2" t="s">
        <v>12</v>
      </c>
    </row>
    <row r="19" customFormat="false" ht="15" hidden="false" customHeight="false" outlineLevel="0" collapsed="false">
      <c r="A1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7" min="3" style="0" width="13"/>
    <col collapsed="false" customWidth="true" hidden="false" outlineLevel="0" max="12" min="9" style="0" width="13"/>
    <col collapsed="false" customWidth="true" hidden="false" outlineLevel="0" max="13" min="13" style="0" width="46"/>
  </cols>
  <sheetData>
    <row r="1" customFormat="false" ht="26.85" hidden="false" customHeight="false" outlineLevel="0" collapsed="false">
      <c r="A1" s="3" t="s">
        <v>13</v>
      </c>
      <c r="B1" s="3" t="s">
        <v>14</v>
      </c>
      <c r="C1" s="3" t="s">
        <v>15</v>
      </c>
      <c r="D1" s="3" t="s">
        <v>16</v>
      </c>
      <c r="E1" s="3" t="s">
        <v>17</v>
      </c>
      <c r="F1" s="3" t="s">
        <v>18</v>
      </c>
      <c r="G1" s="3" t="s">
        <v>19</v>
      </c>
      <c r="H1" s="3" t="s">
        <v>20</v>
      </c>
      <c r="I1" s="3" t="s">
        <v>21</v>
      </c>
      <c r="J1" s="3" t="s">
        <v>22</v>
      </c>
      <c r="K1" s="3" t="s">
        <v>20</v>
      </c>
      <c r="L1" s="3" t="s">
        <v>23</v>
      </c>
      <c r="M1" s="3" t="s">
        <v>24</v>
      </c>
    </row>
    <row r="2" customFormat="false" ht="15" hidden="false" customHeight="false" outlineLevel="0" collapsed="false">
      <c r="A2" s="4" t="n">
        <v>0</v>
      </c>
      <c r="B2" s="4" t="s">
        <v>25</v>
      </c>
      <c r="C2" s="5" t="n">
        <v>102.2</v>
      </c>
      <c r="D2" s="5" t="n">
        <v>100.6</v>
      </c>
      <c r="E2" s="5" t="n">
        <v>101.4</v>
      </c>
      <c r="F2" s="4"/>
      <c r="G2" s="6"/>
      <c r="H2" s="4" t="str">
        <f aca="false">IF(F2="","",IF(ROUND(F2,6)=ROUND(G2,6),"ok","DIFFERS"))</f>
        <v/>
      </c>
      <c r="I2" s="4"/>
      <c r="J2" s="6"/>
      <c r="K2" s="4" t="str">
        <f aca="false">IF(I2="","",IF(ROUND(I2,6)=ROUND(J2,6),"ok","DIFFERS"))</f>
        <v/>
      </c>
      <c r="L2" s="5" t="n">
        <v>0</v>
      </c>
      <c r="M2" s="4" t="s">
        <v>26</v>
      </c>
    </row>
    <row r="3" customFormat="false" ht="15" hidden="false" customHeight="false" outlineLevel="0" collapsed="false">
      <c r="A3" s="4" t="n">
        <v>1</v>
      </c>
      <c r="B3" s="4" t="s">
        <v>27</v>
      </c>
      <c r="C3" s="5" t="n">
        <v>103.6</v>
      </c>
      <c r="D3" s="5" t="n">
        <v>102</v>
      </c>
      <c r="E3" s="5" t="n">
        <v>102.8</v>
      </c>
      <c r="F3" s="4"/>
      <c r="G3" s="6"/>
      <c r="H3" s="4" t="str">
        <f aca="false">IF(F3="","",IF(ROUND(F3,6)=ROUND(G3,6),"ok","DIFFERS"))</f>
        <v/>
      </c>
      <c r="I3" s="4"/>
      <c r="J3" s="6"/>
      <c r="K3" s="4" t="str">
        <f aca="false">IF(I3="","",IF(ROUND(I3,6)=ROUND(J3,6),"ok","DIFFERS"))</f>
        <v/>
      </c>
      <c r="L3" s="5" t="n">
        <v>0</v>
      </c>
      <c r="M3" s="4" t="s">
        <v>26</v>
      </c>
    </row>
    <row r="4" customFormat="false" ht="15" hidden="false" customHeight="false" outlineLevel="0" collapsed="false">
      <c r="A4" s="4" t="n">
        <v>2</v>
      </c>
      <c r="B4" s="4" t="s">
        <v>28</v>
      </c>
      <c r="C4" s="5" t="n">
        <v>105</v>
      </c>
      <c r="D4" s="5" t="n">
        <v>103.4</v>
      </c>
      <c r="E4" s="5" t="n">
        <v>104.2</v>
      </c>
      <c r="F4" s="4"/>
      <c r="G4" s="6"/>
      <c r="H4" s="4" t="str">
        <f aca="false">IF(F4="","",IF(ROUND(F4,6)=ROUND(G4,6),"ok","DIFFERS"))</f>
        <v/>
      </c>
      <c r="I4" s="4"/>
      <c r="J4" s="6"/>
      <c r="K4" s="4" t="str">
        <f aca="false">IF(I4="","",IF(ROUND(I4,6)=ROUND(J4,6),"ok","DIFFERS"))</f>
        <v/>
      </c>
      <c r="L4" s="5" t="n">
        <v>0</v>
      </c>
      <c r="M4" s="4" t="s">
        <v>26</v>
      </c>
    </row>
    <row r="5" customFormat="false" ht="15" hidden="false" customHeight="false" outlineLevel="0" collapsed="false">
      <c r="A5" s="4" t="n">
        <v>3</v>
      </c>
      <c r="B5" s="4" t="s">
        <v>29</v>
      </c>
      <c r="C5" s="5" t="n">
        <v>106.4</v>
      </c>
      <c r="D5" s="5" t="n">
        <v>104.8</v>
      </c>
      <c r="E5" s="5" t="n">
        <v>105.6</v>
      </c>
      <c r="F5" s="4"/>
      <c r="G5" s="6"/>
      <c r="H5" s="4" t="str">
        <f aca="false">IF(F5="","",IF(ROUND(F5,6)=ROUND(G5,6),"ok","DIFFERS"))</f>
        <v/>
      </c>
      <c r="I5" s="4"/>
      <c r="J5" s="6"/>
      <c r="K5" s="4" t="str">
        <f aca="false">IF(I5="","",IF(ROUND(I5,6)=ROUND(J5,6),"ok","DIFFERS"))</f>
        <v/>
      </c>
      <c r="L5" s="5" t="n">
        <v>0</v>
      </c>
      <c r="M5" s="4" t="s">
        <v>26</v>
      </c>
    </row>
    <row r="6" customFormat="false" ht="15" hidden="false" customHeight="false" outlineLevel="0" collapsed="false">
      <c r="A6" s="4" t="n">
        <v>4</v>
      </c>
      <c r="B6" s="4" t="s">
        <v>30</v>
      </c>
      <c r="C6" s="5" t="n">
        <v>107.8</v>
      </c>
      <c r="D6" s="5" t="n">
        <v>106.2</v>
      </c>
      <c r="E6" s="5" t="n">
        <v>107</v>
      </c>
      <c r="F6" s="4"/>
      <c r="G6" s="6"/>
      <c r="H6" s="4" t="str">
        <f aca="false">IF(F6="","",IF(ROUND(F6,6)=ROUND(G6,6),"ok","DIFFERS"))</f>
        <v/>
      </c>
      <c r="I6" s="4"/>
      <c r="J6" s="6"/>
      <c r="K6" s="4" t="str">
        <f aca="false">IF(I6="","",IF(ROUND(I6,6)=ROUND(J6,6),"ok","DIFFERS"))</f>
        <v/>
      </c>
      <c r="L6" s="5" t="n">
        <v>0</v>
      </c>
      <c r="M6" s="4" t="s">
        <v>26</v>
      </c>
    </row>
    <row r="7" customFormat="false" ht="15" hidden="false" customHeight="false" outlineLevel="0" collapsed="false">
      <c r="A7" s="4" t="n">
        <v>5</v>
      </c>
      <c r="B7" s="4" t="s">
        <v>31</v>
      </c>
      <c r="C7" s="5" t="n">
        <v>109.2</v>
      </c>
      <c r="D7" s="5" t="n">
        <v>107.6</v>
      </c>
      <c r="E7" s="5" t="n">
        <v>108.4</v>
      </c>
      <c r="F7" s="4"/>
      <c r="G7" s="6"/>
      <c r="H7" s="4" t="str">
        <f aca="false">IF(F7="","",IF(ROUND(F7,6)=ROUND(G7,6),"ok","DIFFERS"))</f>
        <v/>
      </c>
      <c r="I7" s="4"/>
      <c r="J7" s="6"/>
      <c r="K7" s="4" t="str">
        <f aca="false">IF(I7="","",IF(ROUND(I7,6)=ROUND(J7,6),"ok","DIFFERS"))</f>
        <v/>
      </c>
      <c r="L7" s="5" t="n">
        <v>0</v>
      </c>
      <c r="M7" s="4" t="s">
        <v>26</v>
      </c>
    </row>
    <row r="8" customFormat="false" ht="15" hidden="false" customHeight="false" outlineLevel="0" collapsed="false">
      <c r="A8" s="4" t="n">
        <v>6</v>
      </c>
      <c r="B8" s="4" t="s">
        <v>32</v>
      </c>
      <c r="C8" s="5" t="n">
        <v>110.6</v>
      </c>
      <c r="D8" s="5" t="n">
        <v>109</v>
      </c>
      <c r="E8" s="5" t="n">
        <v>109.8</v>
      </c>
      <c r="F8" s="4"/>
      <c r="G8" s="6"/>
      <c r="H8" s="4" t="str">
        <f aca="false">IF(F8="","",IF(ROUND(F8,6)=ROUND(G8,6),"ok","DIFFERS"))</f>
        <v/>
      </c>
      <c r="I8" s="4"/>
      <c r="J8" s="6"/>
      <c r="K8" s="4" t="str">
        <f aca="false">IF(I8="","",IF(ROUND(I8,6)=ROUND(J8,6),"ok","DIFFERS"))</f>
        <v/>
      </c>
      <c r="L8" s="5" t="n">
        <v>0</v>
      </c>
      <c r="M8" s="4" t="s">
        <v>26</v>
      </c>
    </row>
    <row r="9" customFormat="false" ht="15" hidden="false" customHeight="false" outlineLevel="0" collapsed="false">
      <c r="A9" s="4" t="n">
        <v>7</v>
      </c>
      <c r="B9" s="4" t="s">
        <v>33</v>
      </c>
      <c r="C9" s="5" t="n">
        <v>112</v>
      </c>
      <c r="D9" s="5" t="n">
        <v>110.4</v>
      </c>
      <c r="E9" s="5" t="n">
        <v>111.2</v>
      </c>
      <c r="F9" s="4"/>
      <c r="G9" s="6"/>
      <c r="H9" s="4" t="str">
        <f aca="false">IF(F9="","",IF(ROUND(F9,6)=ROUND(G9,6),"ok","DIFFERS"))</f>
        <v/>
      </c>
      <c r="I9" s="4"/>
      <c r="J9" s="6"/>
      <c r="K9" s="4" t="str">
        <f aca="false">IF(I9="","",IF(ROUND(I9,6)=ROUND(J9,6),"ok","DIFFERS"))</f>
        <v/>
      </c>
      <c r="L9" s="5" t="n">
        <v>0</v>
      </c>
      <c r="M9" s="4" t="s">
        <v>26</v>
      </c>
    </row>
    <row r="10" customFormat="false" ht="15" hidden="false" customHeight="false" outlineLevel="0" collapsed="false">
      <c r="A10" s="4" t="n">
        <v>8</v>
      </c>
      <c r="B10" s="4" t="s">
        <v>34</v>
      </c>
      <c r="C10" s="5" t="n">
        <v>113.4</v>
      </c>
      <c r="D10" s="5" t="n">
        <v>111.8</v>
      </c>
      <c r="E10" s="5" t="n">
        <v>112.6</v>
      </c>
      <c r="F10" s="4"/>
      <c r="G10" s="6"/>
      <c r="H10" s="4" t="str">
        <f aca="false">IF(F10="","",IF(ROUND(F10,6)=ROUND(G10,6),"ok","DIFFERS"))</f>
        <v/>
      </c>
      <c r="I10" s="4"/>
      <c r="J10" s="6"/>
      <c r="K10" s="4" t="str">
        <f aca="false">IF(I10="","",IF(ROUND(I10,6)=ROUND(J10,6),"ok","DIFFERS"))</f>
        <v/>
      </c>
      <c r="L10" s="5" t="n">
        <v>0</v>
      </c>
      <c r="M10" s="4" t="s">
        <v>26</v>
      </c>
    </row>
    <row r="11" customFormat="false" ht="15" hidden="false" customHeight="false" outlineLevel="0" collapsed="false">
      <c r="A11" s="4" t="n">
        <v>9</v>
      </c>
      <c r="B11" s="4" t="s">
        <v>35</v>
      </c>
      <c r="C11" s="5" t="n">
        <v>114.8</v>
      </c>
      <c r="D11" s="5" t="n">
        <v>113.2</v>
      </c>
      <c r="E11" s="5" t="n">
        <v>114</v>
      </c>
      <c r="F11" s="4"/>
      <c r="G11" s="6"/>
      <c r="H11" s="4" t="str">
        <f aca="false">IF(F11="","",IF(ROUND(F11,6)=ROUND(G11,6),"ok","DIFFERS"))</f>
        <v/>
      </c>
      <c r="I11" s="4"/>
      <c r="J11" s="6"/>
      <c r="K11" s="4" t="str">
        <f aca="false">IF(I11="","",IF(ROUND(I11,6)=ROUND(J11,6),"ok","DIFFERS"))</f>
        <v/>
      </c>
      <c r="L11" s="5" t="n">
        <v>0</v>
      </c>
      <c r="M11" s="4" t="s">
        <v>26</v>
      </c>
    </row>
    <row r="12" customFormat="false" ht="15" hidden="false" customHeight="false" outlineLevel="0" collapsed="false">
      <c r="A12" s="4" t="n">
        <v>10</v>
      </c>
      <c r="B12" s="4" t="s">
        <v>36</v>
      </c>
      <c r="C12" s="5" t="n">
        <v>116.2</v>
      </c>
      <c r="D12" s="5" t="n">
        <v>114.6</v>
      </c>
      <c r="E12" s="5" t="n">
        <v>115.4</v>
      </c>
      <c r="F12" s="4"/>
      <c r="G12" s="6"/>
      <c r="H12" s="4" t="str">
        <f aca="false">IF(F12="","",IF(ROUND(F12,6)=ROUND(G12,6),"ok","DIFFERS"))</f>
        <v/>
      </c>
      <c r="I12" s="4"/>
      <c r="J12" s="6"/>
      <c r="K12" s="4" t="str">
        <f aca="false">IF(I12="","",IF(ROUND(I12,6)=ROUND(J12,6),"ok","DIFFERS"))</f>
        <v/>
      </c>
      <c r="L12" s="5" t="n">
        <v>0</v>
      </c>
      <c r="M12" s="4" t="s">
        <v>26</v>
      </c>
    </row>
    <row r="13" customFormat="false" ht="15" hidden="false" customHeight="false" outlineLevel="0" collapsed="false">
      <c r="A13" s="4" t="n">
        <v>11</v>
      </c>
      <c r="B13" s="4" t="s">
        <v>37</v>
      </c>
      <c r="C13" s="5" t="n">
        <v>117.6</v>
      </c>
      <c r="D13" s="5" t="n">
        <v>116</v>
      </c>
      <c r="E13" s="5" t="n">
        <v>116.8</v>
      </c>
      <c r="F13" s="4"/>
      <c r="G13" s="6"/>
      <c r="H13" s="4" t="str">
        <f aca="false">IF(F13="","",IF(ROUND(F13,6)=ROUND(G13,6),"ok","DIFFERS"))</f>
        <v/>
      </c>
      <c r="I13" s="4"/>
      <c r="J13" s="6"/>
      <c r="K13" s="4" t="str">
        <f aca="false">IF(I13="","",IF(ROUND(I13,6)=ROUND(J13,6),"ok","DIFFERS"))</f>
        <v/>
      </c>
      <c r="L13" s="5" t="n">
        <v>0</v>
      </c>
      <c r="M13" s="4" t="s">
        <v>26</v>
      </c>
    </row>
    <row r="14" customFormat="false" ht="15" hidden="false" customHeight="false" outlineLevel="0" collapsed="false">
      <c r="A14" s="4" t="n">
        <v>12</v>
      </c>
      <c r="B14" s="4" t="s">
        <v>38</v>
      </c>
      <c r="C14" s="5" t="n">
        <v>119</v>
      </c>
      <c r="D14" s="5" t="n">
        <v>117.4</v>
      </c>
      <c r="E14" s="5" t="n">
        <v>118.2</v>
      </c>
      <c r="F14" s="4"/>
      <c r="G14" s="6"/>
      <c r="H14" s="4" t="str">
        <f aca="false">IF(F14="","",IF(ROUND(F14,6)=ROUND(G14,6),"ok","DIFFERS"))</f>
        <v/>
      </c>
      <c r="I14" s="4"/>
      <c r="J14" s="6"/>
      <c r="K14" s="4" t="str">
        <f aca="false">IF(I14="","",IF(ROUND(I14,6)=ROUND(J14,6),"ok","DIFFERS"))</f>
        <v/>
      </c>
      <c r="L14" s="5" t="n">
        <v>0</v>
      </c>
      <c r="M14" s="4" t="s">
        <v>26</v>
      </c>
    </row>
    <row r="15" customFormat="false" ht="15" hidden="false" customHeight="false" outlineLevel="0" collapsed="false">
      <c r="A15" s="4" t="n">
        <v>13</v>
      </c>
      <c r="B15" s="4" t="s">
        <v>39</v>
      </c>
      <c r="C15" s="5" t="n">
        <v>120.4</v>
      </c>
      <c r="D15" s="5" t="n">
        <v>118.8</v>
      </c>
      <c r="E15" s="5" t="n">
        <v>119.6</v>
      </c>
      <c r="F15" s="4"/>
      <c r="G15" s="6"/>
      <c r="H15" s="4" t="str">
        <f aca="false">IF(F15="","",IF(ROUND(F15,6)=ROUND(G15,6),"ok","DIFFERS"))</f>
        <v/>
      </c>
      <c r="I15" s="4"/>
      <c r="J15" s="6"/>
      <c r="K15" s="4" t="str">
        <f aca="false">IF(I15="","",IF(ROUND(I15,6)=ROUND(J15,6),"ok","DIFFERS"))</f>
        <v/>
      </c>
      <c r="L15" s="5" t="n">
        <v>0</v>
      </c>
      <c r="M15" s="4" t="s">
        <v>26</v>
      </c>
    </row>
    <row r="16" customFormat="false" ht="15" hidden="false" customHeight="false" outlineLevel="0" collapsed="false">
      <c r="A16" s="4" t="n">
        <v>14</v>
      </c>
      <c r="B16" s="4" t="s">
        <v>40</v>
      </c>
      <c r="C16" s="5" t="n">
        <v>121.8</v>
      </c>
      <c r="D16" s="5" t="n">
        <v>120.2</v>
      </c>
      <c r="E16" s="5" t="n">
        <v>121</v>
      </c>
      <c r="F16" s="4"/>
      <c r="G16" s="6"/>
      <c r="H16" s="4" t="str">
        <f aca="false">IF(F16="","",IF(ROUND(F16,6)=ROUND(G16,6),"ok","DIFFERS"))</f>
        <v/>
      </c>
      <c r="I16" s="4"/>
      <c r="J16" s="6"/>
      <c r="K16" s="4" t="str">
        <f aca="false">IF(I16="","",IF(ROUND(I16,6)=ROUND(J16,6),"ok","DIFFERS"))</f>
        <v/>
      </c>
      <c r="L16" s="5" t="n">
        <v>0</v>
      </c>
      <c r="M16" s="4" t="s">
        <v>26</v>
      </c>
    </row>
    <row r="17" customFormat="false" ht="15" hidden="false" customHeight="false" outlineLevel="0" collapsed="false">
      <c r="A17" s="7" t="n">
        <v>15</v>
      </c>
      <c r="B17" s="7" t="s">
        <v>41</v>
      </c>
      <c r="C17" s="8" t="n">
        <v>119.8</v>
      </c>
      <c r="D17" s="8" t="n">
        <v>118.2</v>
      </c>
      <c r="E17" s="8" t="n">
        <v>119</v>
      </c>
      <c r="F17" s="7"/>
      <c r="G17" s="6"/>
      <c r="H17" s="7" t="str">
        <f aca="false">IF(F17="","",IF(ROUND(F17,6)=ROUND(G17,6),"ok","DIFFERS"))</f>
        <v/>
      </c>
      <c r="I17" s="7"/>
      <c r="J17" s="6"/>
      <c r="K17" s="7" t="str">
        <f aca="false">IF(I17="","",IF(ROUND(I17,6)=ROUND(J17,6),"ok","DIFFERS"))</f>
        <v/>
      </c>
      <c r="L17" s="8" t="n">
        <v>0</v>
      </c>
      <c r="M17" s="7" t="s">
        <v>26</v>
      </c>
    </row>
    <row r="18" customFormat="false" ht="15" hidden="false" customHeight="false" outlineLevel="0" collapsed="false">
      <c r="A18" s="7" t="n">
        <v>16</v>
      </c>
      <c r="B18" s="7" t="s">
        <v>42</v>
      </c>
      <c r="C18" s="8" t="n">
        <v>117.8</v>
      </c>
      <c r="D18" s="8" t="n">
        <v>116.2</v>
      </c>
      <c r="E18" s="8" t="n">
        <v>117</v>
      </c>
      <c r="F18" s="7"/>
      <c r="G18" s="6"/>
      <c r="H18" s="7" t="str">
        <f aca="false">IF(F18="","",IF(ROUND(F18,6)=ROUND(G18,6),"ok","DIFFERS"))</f>
        <v/>
      </c>
      <c r="I18" s="7"/>
      <c r="J18" s="6"/>
      <c r="K18" s="7" t="str">
        <f aca="false">IF(I18="","",IF(ROUND(I18,6)=ROUND(J18,6),"ok","DIFFERS"))</f>
        <v/>
      </c>
      <c r="L18" s="8" t="n">
        <v>0</v>
      </c>
      <c r="M18" s="7" t="s">
        <v>26</v>
      </c>
    </row>
    <row r="19" customFormat="false" ht="15" hidden="false" customHeight="false" outlineLevel="0" collapsed="false">
      <c r="A19" s="7" t="n">
        <v>17</v>
      </c>
      <c r="B19" s="7" t="s">
        <v>43</v>
      </c>
      <c r="C19" s="8" t="n">
        <v>115.8</v>
      </c>
      <c r="D19" s="8" t="n">
        <v>114.2</v>
      </c>
      <c r="E19" s="8" t="n">
        <v>115</v>
      </c>
      <c r="F19" s="7"/>
      <c r="G19" s="6"/>
      <c r="H19" s="7" t="str">
        <f aca="false">IF(F19="","",IF(ROUND(F19,6)=ROUND(G19,6),"ok","DIFFERS"))</f>
        <v/>
      </c>
      <c r="I19" s="7"/>
      <c r="J19" s="6"/>
      <c r="K19" s="7" t="str">
        <f aca="false">IF(I19="","",IF(ROUND(I19,6)=ROUND(J19,6),"ok","DIFFERS"))</f>
        <v/>
      </c>
      <c r="L19" s="8" t="n">
        <v>0</v>
      </c>
      <c r="M19" s="7" t="s">
        <v>26</v>
      </c>
    </row>
    <row r="20" customFormat="false" ht="15" hidden="false" customHeight="false" outlineLevel="0" collapsed="false">
      <c r="A20" s="7" t="n">
        <v>18</v>
      </c>
      <c r="B20" s="7" t="s">
        <v>44</v>
      </c>
      <c r="C20" s="8" t="n">
        <v>113.8</v>
      </c>
      <c r="D20" s="8" t="n">
        <v>112.2</v>
      </c>
      <c r="E20" s="8" t="n">
        <v>113</v>
      </c>
      <c r="F20" s="7"/>
      <c r="G20" s="6"/>
      <c r="H20" s="7" t="str">
        <f aca="false">IF(F20="","",IF(ROUND(F20,6)=ROUND(G20,6),"ok","DIFFERS"))</f>
        <v/>
      </c>
      <c r="I20" s="7"/>
      <c r="J20" s="6"/>
      <c r="K20" s="7" t="str">
        <f aca="false">IF(I20="","",IF(ROUND(I20,6)=ROUND(J20,6),"ok","DIFFERS"))</f>
        <v/>
      </c>
      <c r="L20" s="8" t="n">
        <v>0</v>
      </c>
      <c r="M20" s="7" t="s">
        <v>26</v>
      </c>
    </row>
    <row r="21" customFormat="false" ht="15" hidden="false" customHeight="false" outlineLevel="0" collapsed="false">
      <c r="A21" s="7" t="n">
        <v>19</v>
      </c>
      <c r="B21" s="7" t="s">
        <v>45</v>
      </c>
      <c r="C21" s="8" t="n">
        <v>111.8</v>
      </c>
      <c r="D21" s="8" t="n">
        <v>110.2</v>
      </c>
      <c r="E21" s="8" t="n">
        <v>111</v>
      </c>
      <c r="F21" s="7"/>
      <c r="G21" s="6"/>
      <c r="H21" s="7" t="str">
        <f aca="false">IF(F21="","",IF(ROUND(F21,6)=ROUND(G21,6),"ok","DIFFERS"))</f>
        <v/>
      </c>
      <c r="I21" s="7"/>
      <c r="J21" s="6"/>
      <c r="K21" s="7" t="str">
        <f aca="false">IF(I21="","",IF(ROUND(I21,6)=ROUND(J21,6),"ok","DIFFERS"))</f>
        <v/>
      </c>
      <c r="L21" s="8" t="n">
        <v>0</v>
      </c>
      <c r="M21" s="7" t="s">
        <v>26</v>
      </c>
    </row>
    <row r="22" customFormat="false" ht="15" hidden="false" customHeight="false" outlineLevel="0" collapsed="false">
      <c r="A22" s="7" t="n">
        <v>20</v>
      </c>
      <c r="B22" s="7" t="s">
        <v>46</v>
      </c>
      <c r="C22" s="8" t="n">
        <v>109.8</v>
      </c>
      <c r="D22" s="8" t="n">
        <v>108.2</v>
      </c>
      <c r="E22" s="8" t="n">
        <v>109</v>
      </c>
      <c r="F22" s="8" t="n">
        <v>121.8</v>
      </c>
      <c r="G22" s="6" t="n">
        <f aca="false">MAX(C2:C21)</f>
        <v>121.8</v>
      </c>
      <c r="H22" s="7" t="str">
        <f aca="false">IF(F22="","",IF(ROUND(F22,6)=ROUND(G22,6),"ok","DIFFERS"))</f>
        <v>ok</v>
      </c>
      <c r="I22" s="8" t="n">
        <v>100.6</v>
      </c>
      <c r="J22" s="6" t="n">
        <f aca="false">MIN(D2:D21)</f>
        <v>100.6</v>
      </c>
      <c r="K22" s="7" t="str">
        <f aca="false">IF(I22="","",IF(ROUND(I22,6)=ROUND(J22,6),"ok","DIFFERS"))</f>
        <v>ok</v>
      </c>
      <c r="L22" s="8" t="n">
        <v>0</v>
      </c>
      <c r="M22" s="7" t="s">
        <v>47</v>
      </c>
    </row>
    <row r="23" customFormat="false" ht="15" hidden="false" customHeight="false" outlineLevel="0" collapsed="false">
      <c r="A23" s="7" t="n">
        <v>21</v>
      </c>
      <c r="B23" s="7" t="s">
        <v>48</v>
      </c>
      <c r="C23" s="8" t="n">
        <v>107.8</v>
      </c>
      <c r="D23" s="8" t="n">
        <v>106.2</v>
      </c>
      <c r="E23" s="8" t="n">
        <v>107</v>
      </c>
      <c r="F23" s="8" t="n">
        <v>121.8</v>
      </c>
      <c r="G23" s="6" t="n">
        <f aca="false">MAX(C3:C22)</f>
        <v>121.8</v>
      </c>
      <c r="H23" s="7" t="str">
        <f aca="false">IF(F23="","",IF(ROUND(F23,6)=ROUND(G23,6),"ok","DIFFERS"))</f>
        <v>ok</v>
      </c>
      <c r="I23" s="8" t="n">
        <v>102</v>
      </c>
      <c r="J23" s="6" t="n">
        <f aca="false">MIN(D3:D22)</f>
        <v>102</v>
      </c>
      <c r="K23" s="7" t="str">
        <f aca="false">IF(I23="","",IF(ROUND(I23,6)=ROUND(J23,6),"ok","DIFFERS"))</f>
        <v>ok</v>
      </c>
      <c r="L23" s="8" t="n">
        <v>0</v>
      </c>
      <c r="M23" s="7" t="s">
        <v>47</v>
      </c>
    </row>
    <row r="24" customFormat="false" ht="15" hidden="false" customHeight="false" outlineLevel="0" collapsed="false">
      <c r="A24" s="7" t="n">
        <v>22</v>
      </c>
      <c r="B24" s="7" t="s">
        <v>49</v>
      </c>
      <c r="C24" s="8" t="n">
        <v>105.8</v>
      </c>
      <c r="D24" s="8" t="n">
        <v>104.2</v>
      </c>
      <c r="E24" s="8" t="n">
        <v>105</v>
      </c>
      <c r="F24" s="8" t="n">
        <v>121.8</v>
      </c>
      <c r="G24" s="6" t="n">
        <f aca="false">MAX(C4:C23)</f>
        <v>121.8</v>
      </c>
      <c r="H24" s="7" t="str">
        <f aca="false">IF(F24="","",IF(ROUND(F24,6)=ROUND(G24,6),"ok","DIFFERS"))</f>
        <v>ok</v>
      </c>
      <c r="I24" s="8" t="n">
        <v>103.4</v>
      </c>
      <c r="J24" s="6" t="n">
        <f aca="false">MIN(D4:D23)</f>
        <v>103.4</v>
      </c>
      <c r="K24" s="7" t="str">
        <f aca="false">IF(I24="","",IF(ROUND(I24,6)=ROUND(J24,6),"ok","DIFFERS"))</f>
        <v>ok</v>
      </c>
      <c r="L24" s="8" t="n">
        <v>0</v>
      </c>
      <c r="M24" s="7" t="s">
        <v>47</v>
      </c>
    </row>
    <row r="25" customFormat="false" ht="15" hidden="false" customHeight="false" outlineLevel="0" collapsed="false">
      <c r="A25" s="7" t="n">
        <v>23</v>
      </c>
      <c r="B25" s="7" t="s">
        <v>50</v>
      </c>
      <c r="C25" s="8" t="n">
        <v>103.8</v>
      </c>
      <c r="D25" s="8" t="n">
        <v>102.2</v>
      </c>
      <c r="E25" s="8" t="n">
        <v>103</v>
      </c>
      <c r="F25" s="8" t="n">
        <v>121.8</v>
      </c>
      <c r="G25" s="6" t="n">
        <f aca="false">MAX(C5:C24)</f>
        <v>121.8</v>
      </c>
      <c r="H25" s="7" t="str">
        <f aca="false">IF(F25="","",IF(ROUND(F25,6)=ROUND(G25,6),"ok","DIFFERS"))</f>
        <v>ok</v>
      </c>
      <c r="I25" s="8" t="n">
        <v>104.2</v>
      </c>
      <c r="J25" s="6" t="n">
        <f aca="false">MIN(D5:D24)</f>
        <v>104.2</v>
      </c>
      <c r="K25" s="7" t="str">
        <f aca="false">IF(I25="","",IF(ROUND(I25,6)=ROUND(J25,6),"ok","DIFFERS"))</f>
        <v>ok</v>
      </c>
      <c r="L25" s="8" t="n">
        <v>-1</v>
      </c>
      <c r="M25" s="7" t="s">
        <v>51</v>
      </c>
    </row>
    <row r="26" customFormat="false" ht="15" hidden="false" customHeight="false" outlineLevel="0" collapsed="false">
      <c r="A26" s="7" t="n">
        <v>24</v>
      </c>
      <c r="B26" s="7" t="s">
        <v>52</v>
      </c>
      <c r="C26" s="8" t="n">
        <v>101.8</v>
      </c>
      <c r="D26" s="8" t="n">
        <v>100.2</v>
      </c>
      <c r="E26" s="8" t="n">
        <v>101</v>
      </c>
      <c r="F26" s="8" t="n">
        <v>121.8</v>
      </c>
      <c r="G26" s="6" t="n">
        <f aca="false">MAX(C6:C25)</f>
        <v>121.8</v>
      </c>
      <c r="H26" s="7" t="str">
        <f aca="false">IF(F26="","",IF(ROUND(F26,6)=ROUND(G26,6),"ok","DIFFERS"))</f>
        <v>ok</v>
      </c>
      <c r="I26" s="8" t="n">
        <v>102.2</v>
      </c>
      <c r="J26" s="6" t="n">
        <f aca="false">MIN(D6:D25)</f>
        <v>102.2</v>
      </c>
      <c r="K26" s="7" t="str">
        <f aca="false">IF(I26="","",IF(ROUND(I26,6)=ROUND(J26,6),"ok","DIFFERS"))</f>
        <v>ok</v>
      </c>
      <c r="L26" s="8" t="n">
        <v>-1</v>
      </c>
      <c r="M26" s="7" t="s">
        <v>53</v>
      </c>
    </row>
    <row r="27" customFormat="false" ht="15" hidden="false" customHeight="false" outlineLevel="0" collapsed="false">
      <c r="A27" s="7" t="n">
        <v>25</v>
      </c>
      <c r="B27" s="7" t="s">
        <v>54</v>
      </c>
      <c r="C27" s="8" t="n">
        <v>103.2</v>
      </c>
      <c r="D27" s="8" t="n">
        <v>101.6</v>
      </c>
      <c r="E27" s="8" t="n">
        <v>102.4</v>
      </c>
      <c r="F27" s="8" t="n">
        <v>121.8</v>
      </c>
      <c r="G27" s="6" t="n">
        <f aca="false">MAX(C7:C26)</f>
        <v>121.8</v>
      </c>
      <c r="H27" s="7" t="str">
        <f aca="false">IF(F27="","",IF(ROUND(F27,6)=ROUND(G27,6),"ok","DIFFERS"))</f>
        <v>ok</v>
      </c>
      <c r="I27" s="8" t="n">
        <v>100.2</v>
      </c>
      <c r="J27" s="6" t="n">
        <f aca="false">MIN(D7:D26)</f>
        <v>100.2</v>
      </c>
      <c r="K27" s="7" t="str">
        <f aca="false">IF(I27="","",IF(ROUND(I27,6)=ROUND(J27,6),"ok","DIFFERS"))</f>
        <v>ok</v>
      </c>
      <c r="L27" s="8" t="n">
        <v>-1</v>
      </c>
      <c r="M27" s="7" t="s">
        <v>47</v>
      </c>
    </row>
    <row r="28" customFormat="false" ht="15" hidden="false" customHeight="false" outlineLevel="0" collapsed="false">
      <c r="A28" s="7" t="n">
        <v>26</v>
      </c>
      <c r="B28" s="7" t="s">
        <v>55</v>
      </c>
      <c r="C28" s="8" t="n">
        <v>104.6</v>
      </c>
      <c r="D28" s="8" t="n">
        <v>103</v>
      </c>
      <c r="E28" s="8" t="n">
        <v>103.8</v>
      </c>
      <c r="F28" s="8" t="n">
        <v>121.8</v>
      </c>
      <c r="G28" s="6" t="n">
        <f aca="false">MAX(C8:C27)</f>
        <v>121.8</v>
      </c>
      <c r="H28" s="7" t="str">
        <f aca="false">IF(F28="","",IF(ROUND(F28,6)=ROUND(G28,6),"ok","DIFFERS"))</f>
        <v>ok</v>
      </c>
      <c r="I28" s="8" t="n">
        <v>100.2</v>
      </c>
      <c r="J28" s="6" t="n">
        <f aca="false">MIN(D8:D27)</f>
        <v>100.2</v>
      </c>
      <c r="K28" s="7" t="str">
        <f aca="false">IF(I28="","",IF(ROUND(I28,6)=ROUND(J28,6),"ok","DIFFERS"))</f>
        <v>ok</v>
      </c>
      <c r="L28" s="8" t="n">
        <v>-1</v>
      </c>
      <c r="M28" s="7" t="s">
        <v>47</v>
      </c>
    </row>
    <row r="29" customFormat="false" ht="15" hidden="false" customHeight="false" outlineLevel="0" collapsed="false">
      <c r="A29" s="7" t="n">
        <v>27</v>
      </c>
      <c r="B29" s="7" t="s">
        <v>56</v>
      </c>
      <c r="C29" s="8" t="n">
        <v>106</v>
      </c>
      <c r="D29" s="8" t="n">
        <v>104.4</v>
      </c>
      <c r="E29" s="8" t="n">
        <v>105.2</v>
      </c>
      <c r="F29" s="8" t="n">
        <v>121.8</v>
      </c>
      <c r="G29" s="6" t="n">
        <f aca="false">MAX(C9:C28)</f>
        <v>121.8</v>
      </c>
      <c r="H29" s="7" t="str">
        <f aca="false">IF(F29="","",IF(ROUND(F29,6)=ROUND(G29,6),"ok","DIFFERS"))</f>
        <v>ok</v>
      </c>
      <c r="I29" s="8" t="n">
        <v>100.2</v>
      </c>
      <c r="J29" s="6" t="n">
        <f aca="false">MIN(D9:D28)</f>
        <v>100.2</v>
      </c>
      <c r="K29" s="7" t="str">
        <f aca="false">IF(I29="","",IF(ROUND(I29,6)=ROUND(J29,6),"ok","DIFFERS"))</f>
        <v>ok</v>
      </c>
      <c r="L29" s="8" t="n">
        <v>-1</v>
      </c>
      <c r="M29" s="7" t="s">
        <v>47</v>
      </c>
    </row>
    <row r="30" customFormat="false" ht="15" hidden="false" customHeight="false" outlineLevel="0" collapsed="false">
      <c r="A30" s="7" t="n">
        <v>28</v>
      </c>
      <c r="B30" s="7" t="s">
        <v>57</v>
      </c>
      <c r="C30" s="8" t="n">
        <v>107.4</v>
      </c>
      <c r="D30" s="8" t="n">
        <v>105.8</v>
      </c>
      <c r="E30" s="8" t="n">
        <v>106.6</v>
      </c>
      <c r="F30" s="8" t="n">
        <v>121.8</v>
      </c>
      <c r="G30" s="6" t="n">
        <f aca="false">MAX(C10:C29)</f>
        <v>121.8</v>
      </c>
      <c r="H30" s="7" t="str">
        <f aca="false">IF(F30="","",IF(ROUND(F30,6)=ROUND(G30,6),"ok","DIFFERS"))</f>
        <v>ok</v>
      </c>
      <c r="I30" s="8" t="n">
        <v>100.2</v>
      </c>
      <c r="J30" s="6" t="n">
        <f aca="false">MIN(D10:D29)</f>
        <v>100.2</v>
      </c>
      <c r="K30" s="7" t="str">
        <f aca="false">IF(I30="","",IF(ROUND(I30,6)=ROUND(J30,6),"ok","DIFFERS"))</f>
        <v>ok</v>
      </c>
      <c r="L30" s="8" t="n">
        <v>-1</v>
      </c>
      <c r="M30" s="7" t="s">
        <v>47</v>
      </c>
    </row>
    <row r="31" customFormat="false" ht="15" hidden="false" customHeight="false" outlineLevel="0" collapsed="false">
      <c r="A31" s="7" t="n">
        <v>29</v>
      </c>
      <c r="B31" s="7" t="s">
        <v>58</v>
      </c>
      <c r="C31" s="8" t="n">
        <v>108.8</v>
      </c>
      <c r="D31" s="8" t="n">
        <v>107.2</v>
      </c>
      <c r="E31" s="8" t="n">
        <v>108</v>
      </c>
      <c r="F31" s="8" t="n">
        <v>121.8</v>
      </c>
      <c r="G31" s="6" t="n">
        <f aca="false">MAX(C11:C30)</f>
        <v>121.8</v>
      </c>
      <c r="H31" s="7" t="str">
        <f aca="false">IF(F31="","",IF(ROUND(F31,6)=ROUND(G31,6),"ok","DIFFERS"))</f>
        <v>ok</v>
      </c>
      <c r="I31" s="8" t="n">
        <v>100.2</v>
      </c>
      <c r="J31" s="6" t="n">
        <f aca="false">MIN(D11:D30)</f>
        <v>100.2</v>
      </c>
      <c r="K31" s="7" t="str">
        <f aca="false">IF(I31="","",IF(ROUND(I31,6)=ROUND(J31,6),"ok","DIFFERS"))</f>
        <v>ok</v>
      </c>
      <c r="L31" s="8" t="n">
        <v>-1</v>
      </c>
      <c r="M31" s="7" t="s">
        <v>47</v>
      </c>
    </row>
    <row r="32" customFormat="false" ht="15" hidden="false" customHeight="false" outlineLevel="0" collapsed="false">
      <c r="A32" s="7" t="n">
        <v>30</v>
      </c>
      <c r="B32" s="7" t="s">
        <v>59</v>
      </c>
      <c r="C32" s="8" t="n">
        <v>110.2</v>
      </c>
      <c r="D32" s="8" t="n">
        <v>108.6</v>
      </c>
      <c r="E32" s="8" t="n">
        <v>109.4</v>
      </c>
      <c r="F32" s="8" t="n">
        <v>121.8</v>
      </c>
      <c r="G32" s="6" t="n">
        <f aca="false">MAX(C12:C31)</f>
        <v>121.8</v>
      </c>
      <c r="H32" s="7" t="str">
        <f aca="false">IF(F32="","",IF(ROUND(F32,6)=ROUND(G32,6),"ok","DIFFERS"))</f>
        <v>ok</v>
      </c>
      <c r="I32" s="8" t="n">
        <v>100.2</v>
      </c>
      <c r="J32" s="6" t="n">
        <f aca="false">MIN(D12:D31)</f>
        <v>100.2</v>
      </c>
      <c r="K32" s="7" t="str">
        <f aca="false">IF(I32="","",IF(ROUND(I32,6)=ROUND(J32,6),"ok","DIFFERS"))</f>
        <v>ok</v>
      </c>
      <c r="L32" s="8" t="n">
        <v>-1</v>
      </c>
      <c r="M32" s="7" t="s">
        <v>47</v>
      </c>
    </row>
    <row r="33" customFormat="false" ht="15" hidden="false" customHeight="false" outlineLevel="0" collapsed="false">
      <c r="A33" s="7" t="n">
        <v>31</v>
      </c>
      <c r="B33" s="7" t="s">
        <v>60</v>
      </c>
      <c r="C33" s="8" t="n">
        <v>111.6</v>
      </c>
      <c r="D33" s="8" t="n">
        <v>110</v>
      </c>
      <c r="E33" s="8" t="n">
        <v>110.8</v>
      </c>
      <c r="F33" s="8" t="n">
        <v>121.8</v>
      </c>
      <c r="G33" s="6" t="n">
        <f aca="false">MAX(C13:C32)</f>
        <v>121.8</v>
      </c>
      <c r="H33" s="7" t="str">
        <f aca="false">IF(F33="","",IF(ROUND(F33,6)=ROUND(G33,6),"ok","DIFFERS"))</f>
        <v>ok</v>
      </c>
      <c r="I33" s="8" t="n">
        <v>100.2</v>
      </c>
      <c r="J33" s="6" t="n">
        <f aca="false">MIN(D13:D32)</f>
        <v>100.2</v>
      </c>
      <c r="K33" s="7" t="str">
        <f aca="false">IF(I33="","",IF(ROUND(I33,6)=ROUND(J33,6),"ok","DIFFERS"))</f>
        <v>ok</v>
      </c>
      <c r="L33" s="8" t="n">
        <v>-1</v>
      </c>
      <c r="M33" s="7" t="s">
        <v>47</v>
      </c>
    </row>
    <row r="34" customFormat="false" ht="15" hidden="false" customHeight="false" outlineLevel="0" collapsed="false">
      <c r="A34" s="7" t="n">
        <v>32</v>
      </c>
      <c r="B34" s="7" t="s">
        <v>61</v>
      </c>
      <c r="C34" s="8" t="n">
        <v>113</v>
      </c>
      <c r="D34" s="8" t="n">
        <v>111.4</v>
      </c>
      <c r="E34" s="8" t="n">
        <v>112.2</v>
      </c>
      <c r="F34" s="8" t="n">
        <v>121.8</v>
      </c>
      <c r="G34" s="6" t="n">
        <f aca="false">MAX(C14:C33)</f>
        <v>121.8</v>
      </c>
      <c r="H34" s="7" t="str">
        <f aca="false">IF(F34="","",IF(ROUND(F34,6)=ROUND(G34,6),"ok","DIFFERS"))</f>
        <v>ok</v>
      </c>
      <c r="I34" s="8" t="n">
        <v>100.2</v>
      </c>
      <c r="J34" s="6" t="n">
        <f aca="false">MIN(D14:D33)</f>
        <v>100.2</v>
      </c>
      <c r="K34" s="7" t="str">
        <f aca="false">IF(I34="","",IF(ROUND(I34,6)=ROUND(J34,6),"ok","DIFFERS"))</f>
        <v>ok</v>
      </c>
      <c r="L34" s="8" t="n">
        <v>-1</v>
      </c>
      <c r="M34" s="7" t="s">
        <v>47</v>
      </c>
    </row>
    <row r="35" customFormat="false" ht="15" hidden="false" customHeight="false" outlineLevel="0" collapsed="false">
      <c r="A35" s="7" t="n">
        <v>33</v>
      </c>
      <c r="B35" s="7" t="s">
        <v>62</v>
      </c>
      <c r="C35" s="8" t="n">
        <v>114.4</v>
      </c>
      <c r="D35" s="8" t="n">
        <v>112.8</v>
      </c>
      <c r="E35" s="8" t="n">
        <v>113.6</v>
      </c>
      <c r="F35" s="8" t="n">
        <v>121.8</v>
      </c>
      <c r="G35" s="6" t="n">
        <f aca="false">MAX(C15:C34)</f>
        <v>121.8</v>
      </c>
      <c r="H35" s="7" t="str">
        <f aca="false">IF(F35="","",IF(ROUND(F35,6)=ROUND(G35,6),"ok","DIFFERS"))</f>
        <v>ok</v>
      </c>
      <c r="I35" s="8" t="n">
        <v>100.2</v>
      </c>
      <c r="J35" s="6" t="n">
        <f aca="false">MIN(D15:D34)</f>
        <v>100.2</v>
      </c>
      <c r="K35" s="7" t="str">
        <f aca="false">IF(I35="","",IF(ROUND(I35,6)=ROUND(J35,6),"ok","DIFFERS"))</f>
        <v>ok</v>
      </c>
      <c r="L35" s="8" t="n">
        <v>-1</v>
      </c>
      <c r="M35" s="7" t="s">
        <v>47</v>
      </c>
    </row>
    <row r="36" customFormat="false" ht="15" hidden="false" customHeight="false" outlineLevel="0" collapsed="false">
      <c r="A36" s="7" t="n">
        <v>34</v>
      </c>
      <c r="B36" s="7" t="s">
        <v>63</v>
      </c>
      <c r="C36" s="8" t="n">
        <v>115.8</v>
      </c>
      <c r="D36" s="8" t="n">
        <v>114.2</v>
      </c>
      <c r="E36" s="8" t="n">
        <v>115</v>
      </c>
      <c r="F36" s="8" t="n">
        <v>121.8</v>
      </c>
      <c r="G36" s="6" t="n">
        <f aca="false">MAX(C16:C35)</f>
        <v>121.8</v>
      </c>
      <c r="H36" s="7" t="str">
        <f aca="false">IF(F36="","",IF(ROUND(F36,6)=ROUND(G36,6),"ok","DIFFERS"))</f>
        <v>ok</v>
      </c>
      <c r="I36" s="8" t="n">
        <v>100.2</v>
      </c>
      <c r="J36" s="6" t="n">
        <f aca="false">MIN(D16:D35)</f>
        <v>100.2</v>
      </c>
      <c r="K36" s="7" t="str">
        <f aca="false">IF(I36="","",IF(ROUND(I36,6)=ROUND(J36,6),"ok","DIFFERS"))</f>
        <v>ok</v>
      </c>
      <c r="L36" s="8" t="n">
        <v>-1</v>
      </c>
      <c r="M36" s="7" t="s">
        <v>47</v>
      </c>
    </row>
    <row r="37" customFormat="false" ht="15" hidden="false" customHeight="false" outlineLevel="0" collapsed="false">
      <c r="A37" s="7" t="n">
        <v>35</v>
      </c>
      <c r="B37" s="7" t="s">
        <v>64</v>
      </c>
      <c r="C37" s="8" t="n">
        <v>117.2</v>
      </c>
      <c r="D37" s="8" t="n">
        <v>115.6</v>
      </c>
      <c r="E37" s="8" t="n">
        <v>116.4</v>
      </c>
      <c r="F37" s="8" t="n">
        <v>119.8</v>
      </c>
      <c r="G37" s="6" t="n">
        <f aca="false">MAX(C17:C36)</f>
        <v>119.8</v>
      </c>
      <c r="H37" s="7" t="str">
        <f aca="false">IF(F37="","",IF(ROUND(F37,6)=ROUND(G37,6),"ok","DIFFERS"))</f>
        <v>ok</v>
      </c>
      <c r="I37" s="8" t="n">
        <v>100.2</v>
      </c>
      <c r="J37" s="6" t="n">
        <f aca="false">MIN(D17:D36)</f>
        <v>100.2</v>
      </c>
      <c r="K37" s="7" t="str">
        <f aca="false">IF(I37="","",IF(ROUND(I37,6)=ROUND(J37,6),"ok","DIFFERS"))</f>
        <v>ok</v>
      </c>
      <c r="L37" s="8" t="n">
        <v>-1</v>
      </c>
      <c r="M37" s="7" t="s">
        <v>47</v>
      </c>
    </row>
    <row r="38" customFormat="false" ht="15" hidden="false" customHeight="false" outlineLevel="0" collapsed="false">
      <c r="A38" s="7" t="n">
        <v>36</v>
      </c>
      <c r="B38" s="7" t="s">
        <v>65</v>
      </c>
      <c r="C38" s="8" t="n">
        <v>118.6</v>
      </c>
      <c r="D38" s="8" t="n">
        <v>117</v>
      </c>
      <c r="E38" s="8" t="n">
        <v>117.8</v>
      </c>
      <c r="F38" s="8" t="n">
        <v>117.8</v>
      </c>
      <c r="G38" s="6" t="n">
        <f aca="false">MAX(C18:C37)</f>
        <v>117.8</v>
      </c>
      <c r="H38" s="7" t="str">
        <f aca="false">IF(F38="","",IF(ROUND(F38,6)=ROUND(G38,6),"ok","DIFFERS"))</f>
        <v>ok</v>
      </c>
      <c r="I38" s="8" t="n">
        <v>100.2</v>
      </c>
      <c r="J38" s="6" t="n">
        <f aca="false">MIN(D18:D37)</f>
        <v>100.2</v>
      </c>
      <c r="K38" s="7" t="str">
        <f aca="false">IF(I38="","",IF(ROUND(I38,6)=ROUND(J38,6),"ok","DIFFERS"))</f>
        <v>ok</v>
      </c>
      <c r="L38" s="8" t="n">
        <v>-1</v>
      </c>
      <c r="M38" s="7" t="s">
        <v>47</v>
      </c>
    </row>
    <row r="39" customFormat="false" ht="15" hidden="false" customHeight="false" outlineLevel="0" collapsed="false">
      <c r="A39" s="7" t="n">
        <v>37</v>
      </c>
      <c r="B39" s="7" t="s">
        <v>66</v>
      </c>
      <c r="C39" s="8" t="n">
        <v>120</v>
      </c>
      <c r="D39" s="8" t="n">
        <v>118.4</v>
      </c>
      <c r="E39" s="8" t="n">
        <v>119.2</v>
      </c>
      <c r="F39" s="8" t="n">
        <v>118.6</v>
      </c>
      <c r="G39" s="6" t="n">
        <f aca="false">MAX(C19:C38)</f>
        <v>118.6</v>
      </c>
      <c r="H39" s="7" t="str">
        <f aca="false">IF(F39="","",IF(ROUND(F39,6)=ROUND(G39,6),"ok","DIFFERS"))</f>
        <v>ok</v>
      </c>
      <c r="I39" s="8" t="n">
        <v>100.2</v>
      </c>
      <c r="J39" s="6" t="n">
        <f aca="false">MIN(D19:D38)</f>
        <v>100.2</v>
      </c>
      <c r="K39" s="7" t="str">
        <f aca="false">IF(I39="","",IF(ROUND(I39,6)=ROUND(J39,6),"ok","DIFFERS"))</f>
        <v>ok</v>
      </c>
      <c r="L39" s="8" t="n">
        <v>1</v>
      </c>
      <c r="M39" s="7" t="s">
        <v>67</v>
      </c>
    </row>
    <row r="40" customFormat="false" ht="15" hidden="false" customHeight="false" outlineLevel="0" collapsed="false">
      <c r="A40" s="7" t="n">
        <v>38</v>
      </c>
      <c r="B40" s="7" t="s">
        <v>68</v>
      </c>
      <c r="C40" s="8" t="n">
        <v>121.4</v>
      </c>
      <c r="D40" s="8" t="n">
        <v>119.8</v>
      </c>
      <c r="E40" s="8" t="n">
        <v>120.6</v>
      </c>
      <c r="F40" s="8" t="n">
        <v>120</v>
      </c>
      <c r="G40" s="6" t="n">
        <f aca="false">MAX(C20:C39)</f>
        <v>120</v>
      </c>
      <c r="H40" s="7" t="str">
        <f aca="false">IF(F40="","",IF(ROUND(F40,6)=ROUND(G40,6),"ok","DIFFERS"))</f>
        <v>ok</v>
      </c>
      <c r="I40" s="8" t="n">
        <v>100.2</v>
      </c>
      <c r="J40" s="6" t="n">
        <f aca="false">MIN(D20:D39)</f>
        <v>100.2</v>
      </c>
      <c r="K40" s="7" t="str">
        <f aca="false">IF(I40="","",IF(ROUND(I40,6)=ROUND(J40,6),"ok","DIFFERS"))</f>
        <v>ok</v>
      </c>
      <c r="L40" s="8" t="n">
        <v>1</v>
      </c>
      <c r="M40" s="7" t="s">
        <v>69</v>
      </c>
    </row>
    <row r="41" customFormat="false" ht="15" hidden="false" customHeight="false" outlineLevel="0" collapsed="false">
      <c r="A41" s="7" t="n">
        <v>39</v>
      </c>
      <c r="B41" s="7" t="s">
        <v>70</v>
      </c>
      <c r="C41" s="8" t="n">
        <v>122.8</v>
      </c>
      <c r="D41" s="8" t="n">
        <v>121.2</v>
      </c>
      <c r="E41" s="8" t="n">
        <v>122</v>
      </c>
      <c r="F41" s="8" t="n">
        <v>121.4</v>
      </c>
      <c r="G41" s="6" t="n">
        <f aca="false">MAX(C21:C40)</f>
        <v>121.4</v>
      </c>
      <c r="H41" s="7" t="str">
        <f aca="false">IF(F41="","",IF(ROUND(F41,6)=ROUND(G41,6),"ok","DIFFERS"))</f>
        <v>ok</v>
      </c>
      <c r="I41" s="8" t="n">
        <v>100.2</v>
      </c>
      <c r="J41" s="6" t="n">
        <f aca="false">MIN(D21:D40)</f>
        <v>100.2</v>
      </c>
      <c r="K41" s="7" t="str">
        <f aca="false">IF(I41="","",IF(ROUND(I41,6)=ROUND(J41,6),"ok","DIFFERS"))</f>
        <v>ok</v>
      </c>
      <c r="L41" s="8" t="n">
        <v>1</v>
      </c>
      <c r="M41" s="7"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5" min="3" style="0" width="13"/>
    <col collapsed="false" customWidth="true" hidden="false" outlineLevel="0" max="10" min="7" style="0" width="13"/>
    <col collapsed="false" customWidth="true" hidden="false" outlineLevel="0" max="11" min="11" style="0" width="46"/>
  </cols>
  <sheetData>
    <row r="1" customFormat="false" ht="15" hidden="false" customHeight="false" outlineLevel="0" collapsed="false">
      <c r="A1" s="3" t="s">
        <v>13</v>
      </c>
      <c r="B1" s="3" t="s">
        <v>14</v>
      </c>
      <c r="C1" s="3" t="s">
        <v>17</v>
      </c>
      <c r="D1" s="3" t="s">
        <v>72</v>
      </c>
      <c r="E1" s="3" t="s">
        <v>73</v>
      </c>
      <c r="F1" s="3" t="s">
        <v>20</v>
      </c>
      <c r="G1" s="3" t="s">
        <v>74</v>
      </c>
      <c r="H1" s="3" t="s">
        <v>75</v>
      </c>
      <c r="I1" s="3" t="s">
        <v>20</v>
      </c>
      <c r="J1" s="3" t="s">
        <v>23</v>
      </c>
      <c r="K1" s="3" t="s">
        <v>24</v>
      </c>
    </row>
    <row r="2" customFormat="false" ht="15" hidden="false" customHeight="false" outlineLevel="0" collapsed="false">
      <c r="A2" s="7" t="n">
        <v>0</v>
      </c>
      <c r="B2" s="7" t="s">
        <v>25</v>
      </c>
      <c r="C2" s="8" t="n">
        <v>101.4</v>
      </c>
      <c r="D2" s="8" t="n">
        <v>101.4</v>
      </c>
      <c r="E2" s="9" t="n">
        <v>101.4</v>
      </c>
      <c r="F2" s="7" t="str">
        <f aca="false">IF(D2="","",IF(ROUND(D2,6)=ROUND(E2,6),"ok","DIFFERS"))</f>
        <v>ok</v>
      </c>
      <c r="G2" s="8" t="n">
        <v>101.4</v>
      </c>
      <c r="H2" s="9" t="n">
        <v>101.4</v>
      </c>
      <c r="I2" s="7" t="str">
        <f aca="false">IF(G2="","",IF(ROUND(G2,6)=ROUND(H2,6),"ok","DIFFERS"))</f>
        <v>ok</v>
      </c>
      <c r="J2" s="8" t="n">
        <v>-1</v>
      </c>
      <c r="K2" s="7" t="s">
        <v>76</v>
      </c>
    </row>
    <row r="3" customFormat="false" ht="15" hidden="false" customHeight="false" outlineLevel="0" collapsed="false">
      <c r="A3" s="7" t="n">
        <v>1</v>
      </c>
      <c r="B3" s="7" t="s">
        <v>27</v>
      </c>
      <c r="C3" s="8" t="n">
        <v>102.8</v>
      </c>
      <c r="D3" s="8" t="n">
        <v>101.711111111111</v>
      </c>
      <c r="E3" s="6" t="n">
        <f aca="false">$B$28*C3+(1-$B$28)*E2</f>
        <v>101.711111111111</v>
      </c>
      <c r="F3" s="7" t="str">
        <f aca="false">IF(D3="","",IF(ROUND(D3,6)=ROUND(E3,6),"ok","DIFFERS"))</f>
        <v>ok</v>
      </c>
      <c r="G3" s="8" t="n">
        <v>101.484848484849</v>
      </c>
      <c r="H3" s="6" t="n">
        <f aca="false">$B$29*C3+(1-$B$29)*H2</f>
        <v>101.484848484849</v>
      </c>
      <c r="I3" s="7" t="str">
        <f aca="false">IF(G3="","",IF(ROUND(G3,6)=ROUND(H3,6),"ok","DIFFERS"))</f>
        <v>ok</v>
      </c>
      <c r="J3" s="8" t="n">
        <v>1</v>
      </c>
      <c r="K3" s="7" t="s">
        <v>77</v>
      </c>
    </row>
    <row r="4" customFormat="false" ht="15" hidden="false" customHeight="false" outlineLevel="0" collapsed="false">
      <c r="A4" s="7" t="n">
        <v>2</v>
      </c>
      <c r="B4" s="7" t="s">
        <v>28</v>
      </c>
      <c r="C4" s="8" t="n">
        <v>104.2</v>
      </c>
      <c r="D4" s="8" t="n">
        <v>102.264197530864</v>
      </c>
      <c r="E4" s="6" t="n">
        <f aca="false">$B$28*C4+(1-$B$28)*E3</f>
        <v>102.264197530864</v>
      </c>
      <c r="F4" s="7" t="str">
        <f aca="false">IF(D4="","",IF(ROUND(D4,6)=ROUND(E4,6),"ok","DIFFERS"))</f>
        <v>ok</v>
      </c>
      <c r="G4" s="8" t="n">
        <v>101.64940312213</v>
      </c>
      <c r="H4" s="6" t="n">
        <f aca="false">$B$29*C4+(1-$B$29)*H3</f>
        <v>101.64940312213</v>
      </c>
      <c r="I4" s="7" t="str">
        <f aca="false">IF(G4="","",IF(ROUND(G4,6)=ROUND(H4,6),"ok","DIFFERS"))</f>
        <v>ok</v>
      </c>
      <c r="J4" s="8" t="n">
        <v>1</v>
      </c>
      <c r="K4" s="7" t="s">
        <v>78</v>
      </c>
    </row>
    <row r="5" customFormat="false" ht="15" hidden="false" customHeight="false" outlineLevel="0" collapsed="false">
      <c r="A5" s="7" t="n">
        <v>3</v>
      </c>
      <c r="B5" s="7" t="s">
        <v>29</v>
      </c>
      <c r="C5" s="8" t="n">
        <v>105.6</v>
      </c>
      <c r="D5" s="8" t="n">
        <v>103.00548696845</v>
      </c>
      <c r="E5" s="6" t="n">
        <f aca="false">$B$28*C5+(1-$B$28)*E4</f>
        <v>103.00548696845</v>
      </c>
      <c r="F5" s="7" t="str">
        <f aca="false">IF(D5="","",IF(ROUND(D5,6)=ROUND(E5,6),"ok","DIFFERS"))</f>
        <v>ok</v>
      </c>
      <c r="G5" s="8" t="n">
        <v>101.888833235941</v>
      </c>
      <c r="H5" s="6" t="n">
        <f aca="false">$B$29*C5+(1-$B$29)*H4</f>
        <v>101.888833235941</v>
      </c>
      <c r="I5" s="7" t="str">
        <f aca="false">IF(G5="","",IF(ROUND(G5,6)=ROUND(H5,6),"ok","DIFFERS"))</f>
        <v>ok</v>
      </c>
      <c r="J5" s="8" t="n">
        <v>1</v>
      </c>
      <c r="K5" s="7" t="s">
        <v>79</v>
      </c>
    </row>
    <row r="6" customFormat="false" ht="15" hidden="false" customHeight="false" outlineLevel="0" collapsed="false">
      <c r="A6" s="7" t="n">
        <v>4</v>
      </c>
      <c r="B6" s="7" t="s">
        <v>30</v>
      </c>
      <c r="C6" s="8" t="n">
        <v>107</v>
      </c>
      <c r="D6" s="8" t="n">
        <v>103.893156531017</v>
      </c>
      <c r="E6" s="6" t="n">
        <f aca="false">$B$28*C6+(1-$B$28)*E5</f>
        <v>103.893156531017</v>
      </c>
      <c r="F6" s="7" t="str">
        <f aca="false">IF(D6="","",IF(ROUND(D6,6)=ROUND(E6,6),"ok","DIFFERS"))</f>
        <v>ok</v>
      </c>
      <c r="G6" s="8" t="n">
        <v>102.198600918611</v>
      </c>
      <c r="H6" s="6" t="n">
        <f aca="false">$B$29*C6+(1-$B$29)*H5</f>
        <v>102.198600918611</v>
      </c>
      <c r="I6" s="7" t="str">
        <f aca="false">IF(G6="","",IF(ROUND(G6,6)=ROUND(H6,6),"ok","DIFFERS"))</f>
        <v>ok</v>
      </c>
      <c r="J6" s="8" t="n">
        <v>1</v>
      </c>
      <c r="K6" s="7" t="s">
        <v>80</v>
      </c>
    </row>
    <row r="7" customFormat="false" ht="15" hidden="false" customHeight="false" outlineLevel="0" collapsed="false">
      <c r="A7" s="7" t="n">
        <v>5</v>
      </c>
      <c r="B7" s="7" t="s">
        <v>31</v>
      </c>
      <c r="C7" s="8" t="n">
        <v>108.4</v>
      </c>
      <c r="D7" s="8" t="n">
        <v>104.894677301902</v>
      </c>
      <c r="E7" s="6" t="n">
        <f aca="false">$B$28*C7+(1-$B$28)*E6</f>
        <v>104.894677301902</v>
      </c>
      <c r="F7" s="7" t="str">
        <f aca="false">IF(D7="","",IF(ROUND(D7,6)=ROUND(E7,6),"ok","DIFFERS"))</f>
        <v>ok</v>
      </c>
      <c r="G7" s="8" t="n">
        <v>102.57444328718</v>
      </c>
      <c r="H7" s="6" t="n">
        <f aca="false">$B$29*C7+(1-$B$29)*H6</f>
        <v>102.57444328718</v>
      </c>
      <c r="I7" s="7" t="str">
        <f aca="false">IF(G7="","",IF(ROUND(G7,6)=ROUND(H7,6),"ok","DIFFERS"))</f>
        <v>ok</v>
      </c>
      <c r="J7" s="8" t="n">
        <v>1</v>
      </c>
      <c r="K7" s="7" t="s">
        <v>81</v>
      </c>
    </row>
    <row r="8" customFormat="false" ht="15" hidden="false" customHeight="false" outlineLevel="0" collapsed="false">
      <c r="A8" s="7" t="n">
        <v>6</v>
      </c>
      <c r="B8" s="7" t="s">
        <v>32</v>
      </c>
      <c r="C8" s="8" t="n">
        <v>109.8</v>
      </c>
      <c r="D8" s="8" t="n">
        <v>105.98474901259</v>
      </c>
      <c r="E8" s="6" t="n">
        <f aca="false">$B$28*C8+(1-$B$28)*E7</f>
        <v>105.98474901259</v>
      </c>
      <c r="F8" s="7" t="str">
        <f aca="false">IF(D8="","",IF(ROUND(D8,6)=ROUND(E8,6),"ok","DIFFERS"))</f>
        <v>ok</v>
      </c>
      <c r="G8" s="8" t="n">
        <v>103.01235581523</v>
      </c>
      <c r="H8" s="6" t="n">
        <f aca="false">$B$29*C8+(1-$B$29)*H7</f>
        <v>103.01235581523</v>
      </c>
      <c r="I8" s="7" t="str">
        <f aca="false">IF(G8="","",IF(ROUND(G8,6)=ROUND(H8,6),"ok","DIFFERS"))</f>
        <v>ok</v>
      </c>
      <c r="J8" s="8" t="n">
        <v>1</v>
      </c>
      <c r="K8" s="7" t="s">
        <v>82</v>
      </c>
    </row>
    <row r="9" customFormat="false" ht="15" hidden="false" customHeight="false" outlineLevel="0" collapsed="false">
      <c r="A9" s="7" t="n">
        <v>7</v>
      </c>
      <c r="B9" s="7" t="s">
        <v>33</v>
      </c>
      <c r="C9" s="8" t="n">
        <v>111.2</v>
      </c>
      <c r="D9" s="8" t="n">
        <v>107.143693676459</v>
      </c>
      <c r="E9" s="6" t="n">
        <f aca="false">$B$28*C9+(1-$B$28)*E8</f>
        <v>107.143693676459</v>
      </c>
      <c r="F9" s="7" t="str">
        <f aca="false">IF(D9="","",IF(ROUND(D9,6)=ROUND(E9,6),"ok","DIFFERS"))</f>
        <v>ok</v>
      </c>
      <c r="G9" s="8" t="n">
        <v>103.508576674913</v>
      </c>
      <c r="H9" s="6" t="n">
        <f aca="false">$B$29*C9+(1-$B$29)*H8</f>
        <v>103.508576674913</v>
      </c>
      <c r="I9" s="7" t="str">
        <f aca="false">IF(G9="","",IF(ROUND(G9,6)=ROUND(H9,6),"ok","DIFFERS"))</f>
        <v>ok</v>
      </c>
      <c r="J9" s="8" t="n">
        <v>1</v>
      </c>
      <c r="K9" s="7" t="s">
        <v>83</v>
      </c>
    </row>
    <row r="10" customFormat="false" ht="15" hidden="false" customHeight="false" outlineLevel="0" collapsed="false">
      <c r="A10" s="7" t="n">
        <v>8</v>
      </c>
      <c r="B10" s="7" t="s">
        <v>34</v>
      </c>
      <c r="C10" s="8" t="n">
        <v>112.6</v>
      </c>
      <c r="D10" s="8" t="n">
        <v>108.356206192802</v>
      </c>
      <c r="E10" s="6" t="n">
        <f aca="false">$B$28*C10+(1-$B$28)*E9</f>
        <v>108.356206192802</v>
      </c>
      <c r="F10" s="7" t="str">
        <f aca="false">IF(D10="","",IF(ROUND(D10,6)=ROUND(E10,6),"ok","DIFFERS"))</f>
        <v>ok</v>
      </c>
      <c r="G10" s="8" t="n">
        <v>104.059572027948</v>
      </c>
      <c r="H10" s="6" t="n">
        <f aca="false">$B$29*C10+(1-$B$29)*H9</f>
        <v>104.059572027948</v>
      </c>
      <c r="I10" s="7" t="str">
        <f aca="false">IF(G10="","",IF(ROUND(G10,6)=ROUND(H10,6),"ok","DIFFERS"))</f>
        <v>ok</v>
      </c>
      <c r="J10" s="8" t="n">
        <v>1</v>
      </c>
      <c r="K10" s="7" t="s">
        <v>84</v>
      </c>
    </row>
    <row r="11" customFormat="false" ht="15" hidden="false" customHeight="false" outlineLevel="0" collapsed="false">
      <c r="A11" s="7" t="n">
        <v>9</v>
      </c>
      <c r="B11" s="7" t="s">
        <v>35</v>
      </c>
      <c r="C11" s="8" t="n">
        <v>114</v>
      </c>
      <c r="D11" s="8" t="n">
        <v>109.610382594401</v>
      </c>
      <c r="E11" s="6" t="n">
        <f aca="false">$B$28*C11+(1-$B$28)*E10</f>
        <v>109.610382594401</v>
      </c>
      <c r="F11" s="7" t="str">
        <f aca="false">IF(D11="","",IF(ROUND(D11,6)=ROUND(E11,6),"ok","DIFFERS"))</f>
        <v>ok</v>
      </c>
      <c r="G11" s="8" t="n">
        <v>104.662022208073</v>
      </c>
      <c r="H11" s="6" t="n">
        <f aca="false">$B$29*C11+(1-$B$29)*H10</f>
        <v>104.662022208073</v>
      </c>
      <c r="I11" s="7" t="str">
        <f aca="false">IF(G11="","",IF(ROUND(G11,6)=ROUND(H11,6),"ok","DIFFERS"))</f>
        <v>ok</v>
      </c>
      <c r="J11" s="8" t="n">
        <v>1</v>
      </c>
      <c r="K11" s="7" t="s">
        <v>85</v>
      </c>
    </row>
    <row r="12" customFormat="false" ht="15" hidden="false" customHeight="false" outlineLevel="0" collapsed="false">
      <c r="A12" s="7" t="n">
        <v>10</v>
      </c>
      <c r="B12" s="7" t="s">
        <v>36</v>
      </c>
      <c r="C12" s="8" t="n">
        <v>115.4</v>
      </c>
      <c r="D12" s="8" t="n">
        <v>110.89696424009</v>
      </c>
      <c r="E12" s="6" t="n">
        <f aca="false">$B$28*C12+(1-$B$28)*E11</f>
        <v>110.89696424009</v>
      </c>
      <c r="F12" s="7" t="str">
        <f aca="false">IF(D12="","",IF(ROUND(D12,6)=ROUND(E12,6),"ok","DIFFERS"))</f>
        <v>ok</v>
      </c>
      <c r="G12" s="8" t="n">
        <v>105.312808740917</v>
      </c>
      <c r="H12" s="6" t="n">
        <f aca="false">$B$29*C12+(1-$B$29)*H11</f>
        <v>105.312808740917</v>
      </c>
      <c r="I12" s="7" t="str">
        <f aca="false">IF(G12="","",IF(ROUND(G12,6)=ROUND(H12,6),"ok","DIFFERS"))</f>
        <v>ok</v>
      </c>
      <c r="J12" s="8" t="n">
        <v>1</v>
      </c>
      <c r="K12" s="7" t="s">
        <v>86</v>
      </c>
    </row>
    <row r="13" customFormat="false" ht="15" hidden="false" customHeight="false" outlineLevel="0" collapsed="false">
      <c r="A13" s="7" t="n">
        <v>11</v>
      </c>
      <c r="B13" s="7" t="s">
        <v>37</v>
      </c>
      <c r="C13" s="8" t="n">
        <v>116.8</v>
      </c>
      <c r="D13" s="8" t="n">
        <v>112.208749964514</v>
      </c>
      <c r="E13" s="6" t="n">
        <f aca="false">$B$28*C13+(1-$B$28)*E12</f>
        <v>112.208749964514</v>
      </c>
      <c r="F13" s="7" t="str">
        <f aca="false">IF(D13="","",IF(ROUND(D13,6)=ROUND(E13,6),"ok","DIFFERS"))</f>
        <v>ok</v>
      </c>
      <c r="G13" s="8" t="n">
        <v>106.009002150558</v>
      </c>
      <c r="H13" s="6" t="n">
        <f aca="false">$B$29*C13+(1-$B$29)*H12</f>
        <v>106.009002150558</v>
      </c>
      <c r="I13" s="7" t="str">
        <f aca="false">IF(G13="","",IF(ROUND(G13,6)=ROUND(H13,6),"ok","DIFFERS"))</f>
        <v>ok</v>
      </c>
      <c r="J13" s="8" t="n">
        <v>1</v>
      </c>
      <c r="K13" s="7" t="s">
        <v>87</v>
      </c>
    </row>
    <row r="14" customFormat="false" ht="15" hidden="false" customHeight="false" outlineLevel="0" collapsed="false">
      <c r="A14" s="7" t="n">
        <v>12</v>
      </c>
      <c r="B14" s="7" t="s">
        <v>38</v>
      </c>
      <c r="C14" s="8" t="n">
        <v>118.2</v>
      </c>
      <c r="D14" s="8" t="n">
        <v>113.540138861289</v>
      </c>
      <c r="E14" s="6" t="n">
        <f aca="false">$B$28*C14+(1-$B$28)*E13</f>
        <v>113.540138861289</v>
      </c>
      <c r="F14" s="7" t="str">
        <f aca="false">IF(D14="","",IF(ROUND(D14,6)=ROUND(E14,6),"ok","DIFFERS"))</f>
        <v>ok</v>
      </c>
      <c r="G14" s="8" t="n">
        <v>106.74785050507</v>
      </c>
      <c r="H14" s="6" t="n">
        <f aca="false">$B$29*C14+(1-$B$29)*H13</f>
        <v>106.74785050507</v>
      </c>
      <c r="I14" s="7" t="str">
        <f aca="false">IF(G14="","",IF(ROUND(G14,6)=ROUND(H14,6),"ok","DIFFERS"))</f>
        <v>ok</v>
      </c>
      <c r="J14" s="8" t="n">
        <v>1</v>
      </c>
      <c r="K14" s="7" t="s">
        <v>88</v>
      </c>
    </row>
    <row r="15" customFormat="false" ht="15" hidden="false" customHeight="false" outlineLevel="0" collapsed="false">
      <c r="A15" s="7" t="n">
        <v>13</v>
      </c>
      <c r="B15" s="7" t="s">
        <v>39</v>
      </c>
      <c r="C15" s="8" t="n">
        <v>119.6</v>
      </c>
      <c r="D15" s="8" t="n">
        <v>114.886774669891</v>
      </c>
      <c r="E15" s="6" t="n">
        <f aca="false">$B$28*C15+(1-$B$28)*E14</f>
        <v>114.886774669891</v>
      </c>
      <c r="F15" s="7" t="str">
        <f aca="false">IF(D15="","",IF(ROUND(D15,6)=ROUND(E15,6),"ok","DIFFERS"))</f>
        <v>ok</v>
      </c>
      <c r="G15" s="8" t="n">
        <v>107.526768656278</v>
      </c>
      <c r="H15" s="6" t="n">
        <f aca="false">$B$29*C15+(1-$B$29)*H14</f>
        <v>107.526768656278</v>
      </c>
      <c r="I15" s="7" t="str">
        <f aca="false">IF(G15="","",IF(ROUND(G15,6)=ROUND(H15,6),"ok","DIFFERS"))</f>
        <v>ok</v>
      </c>
      <c r="J15" s="8" t="n">
        <v>1</v>
      </c>
      <c r="K15" s="7" t="s">
        <v>89</v>
      </c>
    </row>
    <row r="16" customFormat="false" ht="15" hidden="false" customHeight="false" outlineLevel="0" collapsed="false">
      <c r="A16" s="7" t="n">
        <v>14</v>
      </c>
      <c r="B16" s="7" t="s">
        <v>40</v>
      </c>
      <c r="C16" s="8" t="n">
        <v>121</v>
      </c>
      <c r="D16" s="8" t="n">
        <v>116.245269187693</v>
      </c>
      <c r="E16" s="6" t="n">
        <f aca="false">$B$28*C16+(1-$B$28)*E15</f>
        <v>116.245269187693</v>
      </c>
      <c r="F16" s="7" t="str">
        <f aca="false">IF(D16="","",IF(ROUND(D16,6)=ROUND(E16,6),"ok","DIFFERS"))</f>
        <v>ok</v>
      </c>
      <c r="G16" s="8" t="n">
        <v>108.343328131655</v>
      </c>
      <c r="H16" s="6" t="n">
        <f aca="false">$B$29*C16+(1-$B$29)*H15</f>
        <v>108.343328131655</v>
      </c>
      <c r="I16" s="7" t="str">
        <f aca="false">IF(G16="","",IF(ROUND(G16,6)=ROUND(H16,6),"ok","DIFFERS"))</f>
        <v>ok</v>
      </c>
      <c r="J16" s="8" t="n">
        <v>1</v>
      </c>
      <c r="K16" s="7" t="s">
        <v>90</v>
      </c>
    </row>
    <row r="17" customFormat="false" ht="15" hidden="false" customHeight="false" outlineLevel="0" collapsed="false">
      <c r="A17" s="7" t="n">
        <v>15</v>
      </c>
      <c r="B17" s="7" t="s">
        <v>41</v>
      </c>
      <c r="C17" s="8" t="n">
        <v>119</v>
      </c>
      <c r="D17" s="8" t="n">
        <v>116.857431590428</v>
      </c>
      <c r="E17" s="6" t="n">
        <f aca="false">$B$28*C17+(1-$B$28)*E16</f>
        <v>116.857431590428</v>
      </c>
      <c r="F17" s="7" t="str">
        <f aca="false">IF(D17="","",IF(ROUND(D17,6)=ROUND(E17,6),"ok","DIFFERS"))</f>
        <v>ok</v>
      </c>
      <c r="G17" s="8" t="n">
        <v>108.989187032767</v>
      </c>
      <c r="H17" s="6" t="n">
        <f aca="false">$B$29*C17+(1-$B$29)*H16</f>
        <v>108.989187032767</v>
      </c>
      <c r="I17" s="7" t="str">
        <f aca="false">IF(G17="","",IF(ROUND(G17,6)=ROUND(H17,6),"ok","DIFFERS"))</f>
        <v>ok</v>
      </c>
      <c r="J17" s="8" t="n">
        <v>1</v>
      </c>
      <c r="K17" s="7" t="s">
        <v>91</v>
      </c>
    </row>
    <row r="18" customFormat="false" ht="15" hidden="false" customHeight="false" outlineLevel="0" collapsed="false">
      <c r="A18" s="7" t="n">
        <v>16</v>
      </c>
      <c r="B18" s="7" t="s">
        <v>42</v>
      </c>
      <c r="C18" s="8" t="n">
        <v>117</v>
      </c>
      <c r="D18" s="8" t="n">
        <v>116.889113459222</v>
      </c>
      <c r="E18" s="6" t="n">
        <f aca="false">$B$28*C18+(1-$B$28)*E17</f>
        <v>116.889113459222</v>
      </c>
      <c r="F18" s="7" t="str">
        <f aca="false">IF(D18="","",IF(ROUND(D18,6)=ROUND(E18,6),"ok","DIFFERS"))</f>
        <v>ok</v>
      </c>
      <c r="G18" s="8" t="n">
        <v>109.474690848963</v>
      </c>
      <c r="H18" s="6" t="n">
        <f aca="false">$B$29*C18+(1-$B$29)*H17</f>
        <v>109.474690848963</v>
      </c>
      <c r="I18" s="7" t="str">
        <f aca="false">IF(G18="","",IF(ROUND(G18,6)=ROUND(H18,6),"ok","DIFFERS"))</f>
        <v>ok</v>
      </c>
      <c r="J18" s="8" t="n">
        <v>1</v>
      </c>
      <c r="K18" s="7" t="s">
        <v>92</v>
      </c>
    </row>
    <row r="19" customFormat="false" ht="15" hidden="false" customHeight="false" outlineLevel="0" collapsed="false">
      <c r="A19" s="7" t="n">
        <v>17</v>
      </c>
      <c r="B19" s="7" t="s">
        <v>43</v>
      </c>
      <c r="C19" s="8" t="n">
        <v>115</v>
      </c>
      <c r="D19" s="8" t="n">
        <v>116.469310468284</v>
      </c>
      <c r="E19" s="6" t="n">
        <f aca="false">$B$28*C19+(1-$B$28)*E18</f>
        <v>116.469310468284</v>
      </c>
      <c r="F19" s="7" t="str">
        <f aca="false">IF(D19="","",IF(ROUND(D19,6)=ROUND(E19,6),"ok","DIFFERS"))</f>
        <v>ok</v>
      </c>
      <c r="G19" s="8" t="n">
        <v>109.809558070238</v>
      </c>
      <c r="H19" s="6" t="n">
        <f aca="false">$B$29*C19+(1-$B$29)*H18</f>
        <v>109.809558070238</v>
      </c>
      <c r="I19" s="7" t="str">
        <f aca="false">IF(G19="","",IF(ROUND(G19,6)=ROUND(H19,6),"ok","DIFFERS"))</f>
        <v>ok</v>
      </c>
      <c r="J19" s="8" t="n">
        <v>1</v>
      </c>
      <c r="K19" s="7" t="s">
        <v>93</v>
      </c>
    </row>
    <row r="20" customFormat="false" ht="15" hidden="false" customHeight="false" outlineLevel="0" collapsed="false">
      <c r="A20" s="7" t="n">
        <v>18</v>
      </c>
      <c r="B20" s="7" t="s">
        <v>44</v>
      </c>
      <c r="C20" s="8" t="n">
        <v>113</v>
      </c>
      <c r="D20" s="8" t="n">
        <v>115.698352586443</v>
      </c>
      <c r="E20" s="6" t="n">
        <f aca="false">$B$28*C20+(1-$B$28)*E19</f>
        <v>115.698352586443</v>
      </c>
      <c r="F20" s="7" t="str">
        <f aca="false">IF(D20="","",IF(ROUND(D20,6)=ROUND(E20,6),"ok","DIFFERS"))</f>
        <v>ok</v>
      </c>
      <c r="G20" s="8" t="n">
        <v>110.002918187193</v>
      </c>
      <c r="H20" s="6" t="n">
        <f aca="false">$B$29*C20+(1-$B$29)*H19</f>
        <v>110.002918187193</v>
      </c>
      <c r="I20" s="7" t="str">
        <f aca="false">IF(G20="","",IF(ROUND(G20,6)=ROUND(H20,6),"ok","DIFFERS"))</f>
        <v>ok</v>
      </c>
      <c r="J20" s="8" t="n">
        <v>1</v>
      </c>
      <c r="K20" s="7" t="s">
        <v>94</v>
      </c>
    </row>
    <row r="21" customFormat="false" ht="15" hidden="false" customHeight="false" outlineLevel="0" collapsed="false">
      <c r="A21" s="7" t="n">
        <v>19</v>
      </c>
      <c r="B21" s="7" t="s">
        <v>45</v>
      </c>
      <c r="C21" s="8" t="n">
        <v>111</v>
      </c>
      <c r="D21" s="8" t="n">
        <v>114.6542742339</v>
      </c>
      <c r="E21" s="6" t="n">
        <f aca="false">$B$28*C21+(1-$B$28)*E20</f>
        <v>114.6542742339</v>
      </c>
      <c r="F21" s="7" t="str">
        <f aca="false">IF(D21="","",IF(ROUND(D21,6)=ROUND(E21,6),"ok","DIFFERS"))</f>
        <v>ok</v>
      </c>
      <c r="G21" s="8" t="n">
        <v>110.063347387969</v>
      </c>
      <c r="H21" s="6" t="n">
        <f aca="false">$B$29*C21+(1-$B$29)*H20</f>
        <v>110.063347387969</v>
      </c>
      <c r="I21" s="7" t="str">
        <f aca="false">IF(G21="","",IF(ROUND(G21,6)=ROUND(H21,6),"ok","DIFFERS"))</f>
        <v>ok</v>
      </c>
      <c r="J21" s="8" t="n">
        <v>1</v>
      </c>
      <c r="K21" s="7" t="s">
        <v>95</v>
      </c>
    </row>
    <row r="22" customFormat="false" ht="15" hidden="false" customHeight="false" outlineLevel="0" collapsed="false">
      <c r="A22" s="7" t="n">
        <v>20</v>
      </c>
      <c r="B22" s="7" t="s">
        <v>46</v>
      </c>
      <c r="C22" s="8" t="n">
        <v>109</v>
      </c>
      <c r="D22" s="8" t="n">
        <v>113.397768848589</v>
      </c>
      <c r="E22" s="6" t="n">
        <f aca="false">$B$28*C22+(1-$B$28)*E21</f>
        <v>113.397768848589</v>
      </c>
      <c r="F22" s="7" t="str">
        <f aca="false">IF(D22="","",IF(ROUND(D22,6)=ROUND(E22,6),"ok","DIFFERS"))</f>
        <v>ok</v>
      </c>
      <c r="G22" s="8" t="n">
        <v>109.998902091729</v>
      </c>
      <c r="H22" s="6" t="n">
        <f aca="false">$B$29*C22+(1-$B$29)*H21</f>
        <v>109.998902091729</v>
      </c>
      <c r="I22" s="7" t="str">
        <f aca="false">IF(G22="","",IF(ROUND(G22,6)=ROUND(H22,6),"ok","DIFFERS"))</f>
        <v>ok</v>
      </c>
      <c r="J22" s="8" t="n">
        <v>1</v>
      </c>
      <c r="K22" s="7" t="s">
        <v>96</v>
      </c>
    </row>
    <row r="23" customFormat="false" ht="15" hidden="false" customHeight="false" outlineLevel="0" collapsed="false">
      <c r="A23" s="7" t="n">
        <v>21</v>
      </c>
      <c r="B23" s="7" t="s">
        <v>48</v>
      </c>
      <c r="C23" s="8" t="n">
        <v>107</v>
      </c>
      <c r="D23" s="8" t="n">
        <v>111.976042437791</v>
      </c>
      <c r="E23" s="6" t="n">
        <f aca="false">$B$28*C23+(1-$B$28)*E22</f>
        <v>111.976042437791</v>
      </c>
      <c r="F23" s="7" t="str">
        <f aca="false">IF(D23="","",IF(ROUND(D23,6)=ROUND(E23,6),"ok","DIFFERS"))</f>
        <v>ok</v>
      </c>
      <c r="G23" s="8" t="n">
        <v>109.817150449806</v>
      </c>
      <c r="H23" s="6" t="n">
        <f aca="false">$B$29*C23+(1-$B$29)*H22</f>
        <v>109.817150449806</v>
      </c>
      <c r="I23" s="7" t="str">
        <f aca="false">IF(G23="","",IF(ROUND(G23,6)=ROUND(H23,6),"ok","DIFFERS"))</f>
        <v>ok</v>
      </c>
      <c r="J23" s="8" t="n">
        <v>1</v>
      </c>
      <c r="K23" s="7" t="s">
        <v>97</v>
      </c>
    </row>
    <row r="24" customFormat="false" ht="15" hidden="false" customHeight="false" outlineLevel="0" collapsed="false">
      <c r="A24" s="7" t="n">
        <v>22</v>
      </c>
      <c r="B24" s="7" t="s">
        <v>49</v>
      </c>
      <c r="C24" s="8" t="n">
        <v>105</v>
      </c>
      <c r="D24" s="8" t="n">
        <v>110.425810784949</v>
      </c>
      <c r="E24" s="6" t="n">
        <f aca="false">$B$28*C24+(1-$B$28)*E23</f>
        <v>110.425810784949</v>
      </c>
      <c r="F24" s="7" t="str">
        <f aca="false">IF(D24="","",IF(ROUND(D24,6)=ROUND(E24,6),"ok","DIFFERS"))</f>
        <v>ok</v>
      </c>
      <c r="G24" s="8" t="n">
        <v>109.525201937696</v>
      </c>
      <c r="H24" s="6" t="n">
        <f aca="false">$B$29*C24+(1-$B$29)*H23</f>
        <v>109.525201937696</v>
      </c>
      <c r="I24" s="7" t="str">
        <f aca="false">IF(G24="","",IF(ROUND(G24,6)=ROUND(H24,6),"ok","DIFFERS"))</f>
        <v>ok</v>
      </c>
      <c r="J24" s="8" t="n">
        <v>1</v>
      </c>
      <c r="K24" s="7" t="s">
        <v>98</v>
      </c>
    </row>
    <row r="25" customFormat="false" ht="15" hidden="false" customHeight="false" outlineLevel="0" collapsed="false">
      <c r="A25" s="7" t="n">
        <v>23</v>
      </c>
      <c r="B25" s="7" t="s">
        <v>50</v>
      </c>
      <c r="C25" s="8" t="n">
        <v>103</v>
      </c>
      <c r="D25" s="8" t="n">
        <v>108.775630610516</v>
      </c>
      <c r="E25" s="6" t="n">
        <f aca="false">$B$28*C25+(1-$B$28)*E24</f>
        <v>108.775630610516</v>
      </c>
      <c r="F25" s="7" t="str">
        <f aca="false">IF(D25="","",IF(ROUND(D25,6)=ROUND(E25,6),"ok","DIFFERS"))</f>
        <v>ok</v>
      </c>
      <c r="G25" s="8" t="n">
        <v>109.129735153593</v>
      </c>
      <c r="H25" s="6" t="n">
        <f aca="false">$B$29*C25+(1-$B$29)*H24</f>
        <v>109.129735153593</v>
      </c>
      <c r="I25" s="7" t="str">
        <f aca="false">IF(G25="","",IF(ROUND(G25,6)=ROUND(H25,6),"ok","DIFFERS"))</f>
        <v>ok</v>
      </c>
      <c r="J25" s="8" t="n">
        <v>-1</v>
      </c>
      <c r="K25" s="7" t="s">
        <v>99</v>
      </c>
    </row>
    <row r="26" customFormat="false" ht="15" hidden="false" customHeight="false" outlineLevel="0" collapsed="false">
      <c r="A26" s="7" t="n">
        <v>24</v>
      </c>
      <c r="B26" s="7" t="s">
        <v>52</v>
      </c>
      <c r="C26" s="8" t="n">
        <v>101</v>
      </c>
      <c r="D26" s="8" t="n">
        <v>107.047712697068</v>
      </c>
      <c r="E26" s="6" t="n">
        <f aca="false">$B$28*C26+(1-$B$28)*E25</f>
        <v>107.047712697068</v>
      </c>
      <c r="F26" s="7" t="str">
        <f aca="false">IF(D26="","",IF(ROUND(D26,6)=ROUND(E26,6),"ok","DIFFERS"))</f>
        <v>ok</v>
      </c>
      <c r="G26" s="8" t="n">
        <v>108.637023932164</v>
      </c>
      <c r="H26" s="6" t="n">
        <f aca="false">$B$29*C26+(1-$B$29)*H25</f>
        <v>108.637023932164</v>
      </c>
      <c r="I26" s="7" t="str">
        <f aca="false">IF(G26="","",IF(ROUND(G26,6)=ROUND(H26,6),"ok","DIFFERS"))</f>
        <v>ok</v>
      </c>
      <c r="J26" s="8" t="n">
        <v>-1</v>
      </c>
      <c r="K26" s="7" t="s">
        <v>100</v>
      </c>
    </row>
    <row r="28" customFormat="false" ht="15" hidden="false" customHeight="false" outlineLevel="0" collapsed="false">
      <c r="A28" s="10" t="s">
        <v>101</v>
      </c>
      <c r="B28" s="8" t="n">
        <v>0.222222222222222</v>
      </c>
    </row>
    <row r="29" customFormat="false" ht="15" hidden="false" customHeight="false" outlineLevel="0" collapsed="false">
      <c r="A29" s="10" t="s">
        <v>102</v>
      </c>
      <c r="B29" s="8" t="n">
        <v>0.0606060606060606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2026-08-23T01:00:56Z</dcterms:created>
  <dc:creator>openpyxl</dc:creator>
  <dc:description/>
  <dc:language>en-US</dc:language>
  <cp:lastModifiedBy/>
  <dcterms:modified xsi:type="dcterms:W3CDTF">2026-08-23T01:00:56Z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